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_Denise\Desktop\Gracy\memoire\mineralchainProjet\mineralchain\build\"/>
    </mc:Choice>
  </mc:AlternateContent>
  <bookViews>
    <workbookView xWindow="0" yWindow="0" windowWidth="20490" windowHeight="7530" tabRatio="500" activeTab="2"/>
  </bookViews>
  <sheets>
    <sheet name="Résultats Labo Régulateur" sheetId="1" r:id="rId1"/>
    <sheet name="Comparaison Prod vs Reg" sheetId="2" r:id="rId2"/>
    <sheet name="Statistiques Dataset" sheetId="3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3" l="1"/>
  <c r="C33" i="3"/>
  <c r="C32" i="3"/>
  <c r="C31" i="3"/>
  <c r="C30" i="3"/>
  <c r="C29" i="3"/>
  <c r="C28" i="3"/>
  <c r="C27" i="3"/>
  <c r="C26" i="3"/>
  <c r="C25" i="3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</calcChain>
</file>

<file path=xl/sharedStrings.xml><?xml version="1.0" encoding="utf-8"?>
<sst xmlns="http://schemas.openxmlformats.org/spreadsheetml/2006/main" count="390" uniqueCount="168">
  <si>
    <t>DGMR — RÉSULTATS LABORATOIRE INDÉPENDANT</t>
  </si>
  <si>
    <t>Lot ID</t>
  </si>
  <si>
    <t>Site</t>
  </si>
  <si>
    <t>Type Minerai</t>
  </si>
  <si>
    <t>Cu (%)</t>
  </si>
  <si>
    <t>Co (%)</t>
  </si>
  <si>
    <t>Fe (%)</t>
  </si>
  <si>
    <t>Ni (%)</t>
  </si>
  <si>
    <t>S (%)</t>
  </si>
  <si>
    <t>SiO₂ (%)</t>
  </si>
  <si>
    <t>Al₂O₃ (%)</t>
  </si>
  <si>
    <t>MgO (%)</t>
  </si>
  <si>
    <t>Mn (%)</t>
  </si>
  <si>
    <t>Densité (t/m³)</t>
  </si>
  <si>
    <t>Humidité (%)</t>
  </si>
  <si>
    <t>Dureté (Mohs)</t>
  </si>
  <si>
    <t>pH</t>
  </si>
  <si>
    <t>Granu. (mm)</t>
  </si>
  <si>
    <t>Poids (t)</t>
  </si>
  <si>
    <t>Cond. Élec.</t>
  </si>
  <si>
    <t>Date Analyse</t>
  </si>
  <si>
    <t>Analyste</t>
  </si>
  <si>
    <t>Observation</t>
  </si>
  <si>
    <t>LOT_02881</t>
  </si>
  <si>
    <t>KAMOA</t>
  </si>
  <si>
    <t>cobalt</t>
  </si>
  <si>
    <t>2025-03-01</t>
  </si>
  <si>
    <t>Dr. Kabongo M.</t>
  </si>
  <si>
    <t>ANOMALIE DÉTECTÉE — Écart significatif avec déclaration producteur</t>
  </si>
  <si>
    <t>LOT_09235</t>
  </si>
  <si>
    <t>2025-03-02</t>
  </si>
  <si>
    <t>Ing. Mutombo J.</t>
  </si>
  <si>
    <t>Conforme — Dans les tolérances CEEC/DGMR</t>
  </si>
  <si>
    <t>LOT_34613</t>
  </si>
  <si>
    <t>KCC</t>
  </si>
  <si>
    <t>2025-03-03</t>
  </si>
  <si>
    <t>Dr. Lukusa P.</t>
  </si>
  <si>
    <t>LOT_49250</t>
  </si>
  <si>
    <t>copper</t>
  </si>
  <si>
    <t>2025-03-04</t>
  </si>
  <si>
    <t>Ing. Nkulu T.</t>
  </si>
  <si>
    <t>LOT_35338</t>
  </si>
  <si>
    <t>2025-03-05</t>
  </si>
  <si>
    <t>Dr. Ilunga S.</t>
  </si>
  <si>
    <t>Impuretés élevées — Vérification traitement</t>
  </si>
  <si>
    <t>LOT_24772</t>
  </si>
  <si>
    <t>2025-03-06</t>
  </si>
  <si>
    <t>LOT_20103</t>
  </si>
  <si>
    <t>2025-03-07</t>
  </si>
  <si>
    <t>LOT_05173</t>
  </si>
  <si>
    <t>2025-03-08</t>
  </si>
  <si>
    <t>LOT_01748</t>
  </si>
  <si>
    <t>2025-03-10</t>
  </si>
  <si>
    <t>LOT_43733</t>
  </si>
  <si>
    <t>2025-03-11</t>
  </si>
  <si>
    <t>LOT_31489</t>
  </si>
  <si>
    <t>2025-03-12</t>
  </si>
  <si>
    <t>LOT_04429</t>
  </si>
  <si>
    <t>2025-03-13</t>
  </si>
  <si>
    <t>LOT_34182</t>
  </si>
  <si>
    <t>2025-03-14</t>
  </si>
  <si>
    <t>LOT_35320</t>
  </si>
  <si>
    <t>2025-03-15</t>
  </si>
  <si>
    <t>LOT_00048</t>
  </si>
  <si>
    <t>2025-03-17</t>
  </si>
  <si>
    <t>Conforme — Qualité export</t>
  </si>
  <si>
    <t>LOT_21289</t>
  </si>
  <si>
    <t>2025-03-18</t>
  </si>
  <si>
    <t>LOT_21136</t>
  </si>
  <si>
    <t>2025-03-19</t>
  </si>
  <si>
    <t>LOT_06056</t>
  </si>
  <si>
    <t>2025-03-20</t>
  </si>
  <si>
    <t>LOT_27614</t>
  </si>
  <si>
    <t>2025-03-21</t>
  </si>
  <si>
    <t>LOT_28991</t>
  </si>
  <si>
    <t>2025-03-22</t>
  </si>
  <si>
    <t>LOT_38580</t>
  </si>
  <si>
    <t>2025-03-24</t>
  </si>
  <si>
    <t>LOT_08965</t>
  </si>
  <si>
    <t>2025-03-25</t>
  </si>
  <si>
    <t>LOT_33721</t>
  </si>
  <si>
    <t>2025-03-26</t>
  </si>
  <si>
    <t>LOT_02282</t>
  </si>
  <si>
    <t>2025-03-27</t>
  </si>
  <si>
    <t>LOT_06331</t>
  </si>
  <si>
    <t>2025-03-28</t>
  </si>
  <si>
    <t>MOYENNES (25 échantillons)</t>
  </si>
  <si>
    <t>COMPARAISON — Résultats Producteur vs Laboratoire Régulateur</t>
  </si>
  <si>
    <t>Seuils tolérance CEEC/DGMR  |  Vert = conforme  |  Rouge = hors tolérance  |  Δ = valeur absolue de l'écart</t>
  </si>
  <si>
    <t>Classe</t>
  </si>
  <si>
    <t>Cu (%) Prod.</t>
  </si>
  <si>
    <t>Cu (%) Reg.</t>
  </si>
  <si>
    <t>Δ Cu (%)</t>
  </si>
  <si>
    <t>Co (%) Prod.</t>
  </si>
  <si>
    <t>Co (%) Reg.</t>
  </si>
  <si>
    <t>Δ Co (%)</t>
  </si>
  <si>
    <t>Fe (%) Prod.</t>
  </si>
  <si>
    <t>Fe (%) Reg.</t>
  </si>
  <si>
    <t>Δ Fe (%)</t>
  </si>
  <si>
    <t>Ni (%) Prod.</t>
  </si>
  <si>
    <t>Ni (%) Reg.</t>
  </si>
  <si>
    <t>Δ Ni (%)</t>
  </si>
  <si>
    <t>S (%) Prod.</t>
  </si>
  <si>
    <t>S (%) Reg.</t>
  </si>
  <si>
    <t>Δ S (%)</t>
  </si>
  <si>
    <t>SiO₂ (%) Prod.</t>
  </si>
  <si>
    <t>SiO₂ (%) Reg.</t>
  </si>
  <si>
    <t>Δ SiO₂ (%)</t>
  </si>
  <si>
    <t>Densité Prod.</t>
  </si>
  <si>
    <t>Densité Reg.</t>
  </si>
  <si>
    <t>Δ Densité</t>
  </si>
  <si>
    <t>Humidité (%) Prod.</t>
  </si>
  <si>
    <t>Humidité (%) Reg.</t>
  </si>
  <si>
    <t>Δ Humidité (%)</t>
  </si>
  <si>
    <t>Statut</t>
  </si>
  <si>
    <t>Tolérance?</t>
  </si>
  <si>
    <t>✓ CONFORME</t>
  </si>
  <si>
    <t>0/8 hors seuil</t>
  </si>
  <si>
    <t>Paramètre</t>
  </si>
  <si>
    <t>Unité</t>
  </si>
  <si>
    <t>Minimum</t>
  </si>
  <si>
    <t>Maximum</t>
  </si>
  <si>
    <t>Moyenne</t>
  </si>
  <si>
    <t>Médiane</t>
  </si>
  <si>
    <t>Écart-type</t>
  </si>
  <si>
    <t>P10</t>
  </si>
  <si>
    <t>P90</t>
  </si>
  <si>
    <t>Cuivre — Cu</t>
  </si>
  <si>
    <t>%</t>
  </si>
  <si>
    <t>Cobalt — Co</t>
  </si>
  <si>
    <t>Fer — Fe</t>
  </si>
  <si>
    <t>Nickel — Ni</t>
  </si>
  <si>
    <t>Manganèse — Mn</t>
  </si>
  <si>
    <t>Soufre — S</t>
  </si>
  <si>
    <t>Silice — SiO₂</t>
  </si>
  <si>
    <t>Alumine — Al₂O₃</t>
  </si>
  <si>
    <t>Magnésie — MgO</t>
  </si>
  <si>
    <t>Densité</t>
  </si>
  <si>
    <t>t/m³</t>
  </si>
  <si>
    <t>Humidité</t>
  </si>
  <si>
    <t>Dureté</t>
  </si>
  <si>
    <t>Mohs</t>
  </si>
  <si>
    <t>—</t>
  </si>
  <si>
    <t>Granulométrie</t>
  </si>
  <si>
    <t>mm</t>
  </si>
  <si>
    <t>Poids lot</t>
  </si>
  <si>
    <t>t</t>
  </si>
  <si>
    <t>Conduct. électrique</t>
  </si>
  <si>
    <t>µS/cm</t>
  </si>
  <si>
    <t>DISTRIBUTION DES LOTS</t>
  </si>
  <si>
    <t>Catégorie</t>
  </si>
  <si>
    <t>Nombre de lots</t>
  </si>
  <si>
    <t>Pourcentage</t>
  </si>
  <si>
    <t>KAMOA — Cuivre (copper)</t>
  </si>
  <si>
    <t>KAMOA — Cobalt (cobalt)</t>
  </si>
  <si>
    <t>KCC — Cuivre (copper)</t>
  </si>
  <si>
    <t>KCC — Cobalt (cobalt)</t>
  </si>
  <si>
    <t>Lots authentiques</t>
  </si>
  <si>
    <t>Fraudes détectées</t>
  </si>
  <si>
    <t>Fraude : manipulation grade</t>
  </si>
  <si>
    <t>Fraude : fausse origine</t>
  </si>
  <si>
    <t>Fraude : altération poids</t>
  </si>
  <si>
    <t>Fraude : minerai mélangé</t>
  </si>
  <si>
    <t>TOTAL DATASET</t>
  </si>
  <si>
    <t>100.00 %</t>
  </si>
  <si>
    <t xml:space="preserve">Données de référence pour calibration des modèles IA </t>
  </si>
  <si>
    <t xml:space="preserve"> Analyses double contrôle </t>
  </si>
  <si>
    <t>STATISTIQUES DATASET — 50 000 LOTS  |  Mines KAMOA &amp; KCC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</si>
</sst>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0"/>
    <numFmt numFmtId="165" formatCode="0.000"/>
    <numFmt numFmtId="166" formatCode="0.00\%"/>
  </numFmts>
  <fonts count="25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6B7280"/>
      <name val="Arial"/>
      <charset val="1"/>
    </font>
    <font>
      <b/>
      <sz val="9"/>
      <color rgb="FFFFFFFF"/>
      <name val="Arial"/>
      <charset val="1"/>
    </font>
    <font>
      <b/>
      <i/>
      <sz val="9"/>
      <color rgb="FF991B1B"/>
      <name val="Arial"/>
      <charset val="1"/>
    </font>
    <font>
      <sz val="9"/>
      <color rgb="FF374151"/>
      <name val="Arial"/>
      <charset val="1"/>
    </font>
    <font>
      <sz val="9"/>
      <color rgb="FF991B1B"/>
      <name val="Arial"/>
      <charset val="1"/>
    </font>
    <font>
      <i/>
      <sz val="9"/>
      <color rgb="FF991B1B"/>
      <name val="Arial"/>
      <charset val="1"/>
    </font>
    <font>
      <b/>
      <sz val="9"/>
      <color rgb="FF0D2B5E"/>
      <name val="Arial"/>
      <charset val="1"/>
    </font>
    <font>
      <sz val="9"/>
      <color rgb="FF065F46"/>
      <name val="Arial"/>
      <charset val="1"/>
    </font>
    <font>
      <i/>
      <sz val="9"/>
      <color rgb="FF374151"/>
      <name val="Arial"/>
      <charset val="1"/>
    </font>
    <font>
      <b/>
      <sz val="10"/>
      <color rgb="FF0D2B5E"/>
      <name val="Arial"/>
      <charset val="1"/>
    </font>
    <font>
      <b/>
      <sz val="9"/>
      <color rgb="FF1A56C4"/>
      <name val="Arial"/>
      <charset val="1"/>
    </font>
    <font>
      <b/>
      <sz val="13"/>
      <color rgb="FFFFFFFF"/>
      <name val="Arial"/>
      <charset val="1"/>
    </font>
    <font>
      <i/>
      <sz val="9"/>
      <color rgb="FF6B7280"/>
      <name val="Arial"/>
      <charset val="1"/>
    </font>
    <font>
      <b/>
      <sz val="8"/>
      <color rgb="FFFFFFFF"/>
      <name val="Arial"/>
      <charset val="1"/>
    </font>
    <font>
      <b/>
      <sz val="8"/>
      <color rgb="FF991B1B"/>
      <name val="Arial"/>
      <charset val="1"/>
    </font>
    <font>
      <sz val="8"/>
      <color rgb="FF374151"/>
      <name val="Arial"/>
      <charset val="1"/>
    </font>
    <font>
      <sz val="8"/>
      <color rgb="FF1A56C4"/>
      <name val="Arial"/>
      <charset val="1"/>
    </font>
    <font>
      <sz val="8"/>
      <color rgb="FF0F766E"/>
      <name val="Arial"/>
      <charset val="1"/>
    </font>
    <font>
      <b/>
      <sz val="8"/>
      <color rgb="FF065F46"/>
      <name val="Arial"/>
      <charset val="1"/>
    </font>
    <font>
      <sz val="8"/>
      <color rgb="FF065F46"/>
      <name val="Arial"/>
      <charset val="1"/>
    </font>
    <font>
      <b/>
      <sz val="8"/>
      <color rgb="FF0D2B5E"/>
      <name val="Arial"/>
      <charset val="1"/>
    </font>
    <font>
      <sz val="9"/>
      <color rgb="FF1A56C4"/>
      <name val="Arial"/>
      <charset val="1"/>
    </font>
    <font>
      <b/>
      <sz val="10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0D2B5E"/>
        <bgColor rgb="FF374151"/>
      </patternFill>
    </fill>
    <fill>
      <patternFill patternType="solid">
        <fgColor rgb="FFEEF4FF"/>
        <bgColor rgb="FFF3F4F6"/>
      </patternFill>
    </fill>
    <fill>
      <patternFill patternType="solid">
        <fgColor rgb="FF1A56C4"/>
        <bgColor rgb="FF1D4ED8"/>
      </patternFill>
    </fill>
    <fill>
      <patternFill patternType="solid">
        <fgColor rgb="FF2563EB"/>
        <bgColor rgb="FF1A56C4"/>
      </patternFill>
    </fill>
    <fill>
      <patternFill patternType="solid">
        <fgColor rgb="FF0F766E"/>
        <bgColor rgb="FF0369A1"/>
      </patternFill>
    </fill>
    <fill>
      <patternFill patternType="solid">
        <fgColor rgb="FF5B21B6"/>
        <bgColor rgb="FF800080"/>
      </patternFill>
    </fill>
    <fill>
      <patternFill patternType="solid">
        <fgColor rgb="FFB8860B"/>
        <bgColor rgb="FFFF9900"/>
      </patternFill>
    </fill>
    <fill>
      <patternFill patternType="solid">
        <fgColor rgb="FFFEF2F2"/>
        <bgColor rgb="FFF3F4F6"/>
      </patternFill>
    </fill>
    <fill>
      <patternFill patternType="solid">
        <fgColor rgb="FFFFFFFF"/>
        <bgColor rgb="FFFEF2F2"/>
      </patternFill>
    </fill>
    <fill>
      <patternFill patternType="solid">
        <fgColor rgb="FFF3F4F6"/>
        <bgColor rgb="FFEEF4FF"/>
      </patternFill>
    </fill>
    <fill>
      <patternFill patternType="solid">
        <fgColor rgb="FF1D4ED8"/>
        <bgColor rgb="FF1A56C4"/>
      </patternFill>
    </fill>
    <fill>
      <patternFill patternType="solid">
        <fgColor rgb="FF0369A1"/>
        <bgColor rgb="FF0F766E"/>
      </patternFill>
    </fill>
    <fill>
      <patternFill patternType="solid">
        <fgColor rgb="FFECFDF5"/>
        <bgColor rgb="FFEEF4FF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medium">
        <color rgb="FF0D2B5E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4" fillId="2" borderId="0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left" vertical="center"/>
    </xf>
    <xf numFmtId="0" fontId="0" fillId="3" borderId="0" xfId="0" applyFill="1" applyBorder="1"/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left" vertical="center"/>
    </xf>
    <xf numFmtId="0" fontId="5" fillId="9" borderId="2" xfId="0" applyFont="1" applyFill="1" applyBorder="1" applyAlignment="1">
      <alignment horizontal="center" vertical="center"/>
    </xf>
    <xf numFmtId="164" fontId="6" fillId="9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/>
    </xf>
    <xf numFmtId="0" fontId="5" fillId="10" borderId="2" xfId="0" applyFont="1" applyFill="1" applyBorder="1" applyAlignment="1">
      <alignment horizontal="center" vertical="center"/>
    </xf>
    <xf numFmtId="164" fontId="9" fillId="10" borderId="2" xfId="0" applyNumberFormat="1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/>
    </xf>
    <xf numFmtId="0" fontId="10" fillId="10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/>
    </xf>
    <xf numFmtId="0" fontId="5" fillId="11" borderId="2" xfId="0" applyFont="1" applyFill="1" applyBorder="1" applyAlignment="1">
      <alignment horizontal="center" vertical="center"/>
    </xf>
    <xf numFmtId="164" fontId="9" fillId="11" borderId="2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left" vertical="center"/>
    </xf>
    <xf numFmtId="0" fontId="10" fillId="11" borderId="2" xfId="0" applyFont="1" applyFill="1" applyBorder="1" applyAlignment="1">
      <alignment horizontal="left" vertical="center" wrapText="1"/>
    </xf>
    <xf numFmtId="165" fontId="12" fillId="3" borderId="2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12" borderId="2" xfId="0" applyFont="1" applyFill="1" applyBorder="1" applyAlignment="1">
      <alignment horizontal="center" vertical="center" wrapText="1"/>
    </xf>
    <xf numFmtId="0" fontId="15" fillId="6" borderId="2" xfId="0" applyFont="1" applyFill="1" applyBorder="1" applyAlignment="1">
      <alignment horizontal="center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left" vertical="center"/>
    </xf>
    <xf numFmtId="0" fontId="17" fillId="9" borderId="2" xfId="0" applyFont="1" applyFill="1" applyBorder="1" applyAlignment="1">
      <alignment horizontal="center" vertical="center"/>
    </xf>
    <xf numFmtId="165" fontId="18" fillId="9" borderId="2" xfId="0" applyNumberFormat="1" applyFont="1" applyFill="1" applyBorder="1" applyAlignment="1">
      <alignment horizontal="center" vertical="center"/>
    </xf>
    <xf numFmtId="165" fontId="19" fillId="9" borderId="2" xfId="0" applyNumberFormat="1" applyFont="1" applyFill="1" applyBorder="1" applyAlignment="1">
      <alignment horizontal="center" vertical="center"/>
    </xf>
    <xf numFmtId="165" fontId="20" fillId="14" borderId="2" xfId="0" applyNumberFormat="1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22" fillId="10" borderId="2" xfId="0" applyFont="1" applyFill="1" applyBorder="1" applyAlignment="1">
      <alignment horizontal="left" vertical="center"/>
    </xf>
    <xf numFmtId="0" fontId="17" fillId="10" borderId="2" xfId="0" applyFont="1" applyFill="1" applyBorder="1" applyAlignment="1">
      <alignment horizontal="center" vertical="center"/>
    </xf>
    <xf numFmtId="165" fontId="18" fillId="10" borderId="2" xfId="0" applyNumberFormat="1" applyFont="1" applyFill="1" applyBorder="1" applyAlignment="1">
      <alignment horizontal="center" vertical="center"/>
    </xf>
    <xf numFmtId="165" fontId="19" fillId="10" borderId="2" xfId="0" applyNumberFormat="1" applyFont="1" applyFill="1" applyBorder="1" applyAlignment="1">
      <alignment horizontal="center" vertical="center"/>
    </xf>
    <xf numFmtId="0" fontId="22" fillId="11" borderId="2" xfId="0" applyFont="1" applyFill="1" applyBorder="1" applyAlignment="1">
      <alignment horizontal="left" vertical="center"/>
    </xf>
    <xf numFmtId="0" fontId="17" fillId="11" borderId="2" xfId="0" applyFont="1" applyFill="1" applyBorder="1" applyAlignment="1">
      <alignment horizontal="center" vertical="center"/>
    </xf>
    <xf numFmtId="165" fontId="18" fillId="11" borderId="2" xfId="0" applyNumberFormat="1" applyFont="1" applyFill="1" applyBorder="1" applyAlignment="1">
      <alignment horizontal="center" vertical="center"/>
    </xf>
    <xf numFmtId="165" fontId="19" fillId="11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164" fontId="23" fillId="11" borderId="2" xfId="0" applyNumberFormat="1" applyFont="1" applyFill="1" applyBorder="1" applyAlignment="1">
      <alignment horizontal="center" vertical="center"/>
    </xf>
    <xf numFmtId="164" fontId="5" fillId="11" borderId="2" xfId="0" applyNumberFormat="1" applyFont="1" applyFill="1" applyBorder="1" applyAlignment="1">
      <alignment horizontal="center" vertical="center"/>
    </xf>
    <xf numFmtId="164" fontId="23" fillId="10" borderId="2" xfId="0" applyNumberFormat="1" applyFont="1" applyFill="1" applyBorder="1" applyAlignment="1">
      <alignment horizontal="center" vertical="center"/>
    </xf>
    <xf numFmtId="164" fontId="5" fillId="10" borderId="2" xfId="0" applyNumberFormat="1" applyFont="1" applyFill="1" applyBorder="1" applyAlignment="1">
      <alignment horizontal="center" vertical="center"/>
    </xf>
    <xf numFmtId="3" fontId="23" fillId="11" borderId="2" xfId="0" applyNumberFormat="1" applyFont="1" applyFill="1" applyBorder="1" applyAlignment="1">
      <alignment horizontal="center" vertical="center"/>
    </xf>
    <xf numFmtId="166" fontId="5" fillId="11" borderId="2" xfId="0" applyNumberFormat="1" applyFont="1" applyFill="1" applyBorder="1" applyAlignment="1">
      <alignment horizontal="center" vertical="center"/>
    </xf>
    <xf numFmtId="3" fontId="23" fillId="10" borderId="2" xfId="0" applyNumberFormat="1" applyFont="1" applyFill="1" applyBorder="1" applyAlignment="1">
      <alignment horizontal="center" vertical="center"/>
    </xf>
    <xf numFmtId="166" fontId="5" fillId="10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3" fontId="12" fillId="3" borderId="2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1D4ED8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F766E"/>
      <rgbColor rgb="FFC0C0C0"/>
      <rgbColor rgb="FF808080"/>
      <rgbColor rgb="FF9999FF"/>
      <rgbColor rgb="FF993366"/>
      <rgbColor rgb="FFFEF2F2"/>
      <rgbColor rgb="FFECFDF5"/>
      <rgbColor rgb="FF660066"/>
      <rgbColor rgb="FFFF8080"/>
      <rgbColor rgb="FF0369A1"/>
      <rgbColor rgb="FFD1D5DB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EF4FF"/>
      <rgbColor rgb="FFF3F4F6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B7280"/>
      <rgbColor rgb="FF969696"/>
      <rgbColor rgb="FF0D2B5E"/>
      <rgbColor rgb="FF1A56C4"/>
      <rgbColor rgb="FF003300"/>
      <rgbColor rgb="FF333300"/>
      <rgbColor rgb="FF991B1B"/>
      <rgbColor rgb="FF993366"/>
      <rgbColor rgb="FF5B21B6"/>
      <rgbColor rgb="FF37415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0"/>
  <sheetViews>
    <sheetView zoomScaleNormal="100" workbookViewId="0">
      <pane xSplit="3" ySplit="4" topLeftCell="D40" activePane="bottomRight" state="frozen"/>
      <selection pane="topRight" activeCell="D1" sqref="D1"/>
      <selection pane="bottomLeft" activeCell="A5" sqref="A5"/>
      <selection pane="bottomRight" activeCell="J12" sqref="J12"/>
    </sheetView>
  </sheetViews>
  <sheetFormatPr baseColWidth="10" defaultColWidth="8.7109375" defaultRowHeight="15" x14ac:dyDescent="0.25"/>
  <cols>
    <col min="1" max="1" width="12" customWidth="1"/>
    <col min="2" max="2" width="9" customWidth="1"/>
    <col min="3" max="3" width="13" customWidth="1"/>
    <col min="4" max="8" width="9" customWidth="1"/>
    <col min="9" max="12" width="10" customWidth="1"/>
    <col min="13" max="13" width="14" customWidth="1"/>
    <col min="14" max="15" width="13" customWidth="1"/>
    <col min="16" max="16" width="8" customWidth="1"/>
    <col min="17" max="17" width="12" customWidth="1"/>
    <col min="18" max="18" width="11" customWidth="1"/>
    <col min="19" max="19" width="12" customWidth="1"/>
    <col min="20" max="20" width="14" customWidth="1"/>
    <col min="21" max="21" width="18" customWidth="1"/>
    <col min="22" max="22" width="28" customWidth="1"/>
  </cols>
  <sheetData>
    <row r="1" spans="1:22" ht="27.7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</row>
    <row r="2" spans="1:22" ht="18" customHeight="1" x14ac:dyDescent="0.25">
      <c r="A2" s="6" t="s">
        <v>166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6" customHeight="1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ht="36" customHeight="1" x14ac:dyDescent="0.25">
      <c r="A4" s="8" t="s">
        <v>1</v>
      </c>
      <c r="B4" s="8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  <c r="K4" s="10" t="s">
        <v>11</v>
      </c>
      <c r="L4" s="10" t="s">
        <v>12</v>
      </c>
      <c r="M4" s="11" t="s">
        <v>13</v>
      </c>
      <c r="N4" s="11" t="s">
        <v>14</v>
      </c>
      <c r="O4" s="11" t="s">
        <v>15</v>
      </c>
      <c r="P4" s="11" t="s">
        <v>16</v>
      </c>
      <c r="Q4" s="11" t="s">
        <v>17</v>
      </c>
      <c r="R4" s="11" t="s">
        <v>18</v>
      </c>
      <c r="S4" s="12" t="s">
        <v>19</v>
      </c>
      <c r="T4" s="13" t="s">
        <v>20</v>
      </c>
      <c r="U4" s="13" t="s">
        <v>21</v>
      </c>
      <c r="V4" s="13" t="s">
        <v>22</v>
      </c>
    </row>
    <row r="5" spans="1:22" ht="15.75" customHeight="1" x14ac:dyDescent="0.25">
      <c r="A5" s="14" t="s">
        <v>23</v>
      </c>
      <c r="B5" s="15" t="s">
        <v>24</v>
      </c>
      <c r="C5" s="15" t="s">
        <v>25</v>
      </c>
      <c r="D5" s="16">
        <v>1.2625999999999999</v>
      </c>
      <c r="E5" s="16">
        <v>3.2385000000000002</v>
      </c>
      <c r="F5" s="16">
        <v>1.3315999999999999</v>
      </c>
      <c r="G5" s="16">
        <v>6.7400000000000002E-2</v>
      </c>
      <c r="H5" s="16">
        <v>0.58189999999999997</v>
      </c>
      <c r="I5" s="16">
        <v>16.014299999999999</v>
      </c>
      <c r="J5" s="16">
        <v>5.8787000000000003</v>
      </c>
      <c r="K5" s="16">
        <v>4.6532999999999998</v>
      </c>
      <c r="L5" s="16">
        <v>0.3135</v>
      </c>
      <c r="M5" s="16">
        <v>2.7090000000000001</v>
      </c>
      <c r="N5" s="16">
        <v>9.6580999999999992</v>
      </c>
      <c r="O5" s="16">
        <v>3.1671</v>
      </c>
      <c r="P5" s="16">
        <v>6.9104999999999999</v>
      </c>
      <c r="Q5" s="16">
        <v>18.407299999999999</v>
      </c>
      <c r="R5" s="16">
        <v>96.556799999999996</v>
      </c>
      <c r="S5" s="16">
        <v>52.237000000000002</v>
      </c>
      <c r="T5" s="15" t="s">
        <v>26</v>
      </c>
      <c r="U5" s="17" t="s">
        <v>27</v>
      </c>
      <c r="V5" s="18" t="s">
        <v>28</v>
      </c>
    </row>
    <row r="6" spans="1:22" ht="15.75" customHeight="1" x14ac:dyDescent="0.25">
      <c r="A6" s="19" t="s">
        <v>29</v>
      </c>
      <c r="B6" s="20" t="s">
        <v>24</v>
      </c>
      <c r="C6" s="20" t="s">
        <v>25</v>
      </c>
      <c r="D6" s="21">
        <v>1.4072</v>
      </c>
      <c r="E6" s="21">
        <v>2.1968000000000001</v>
      </c>
      <c r="F6" s="21">
        <v>0.91910000000000003</v>
      </c>
      <c r="G6" s="20">
        <v>0</v>
      </c>
      <c r="H6" s="21">
        <v>1.3472</v>
      </c>
      <c r="I6" s="21">
        <v>9.9121000000000006</v>
      </c>
      <c r="J6" s="21">
        <v>7.2793000000000001</v>
      </c>
      <c r="K6" s="21">
        <v>5.4461000000000004</v>
      </c>
      <c r="L6" s="21">
        <v>0.2374</v>
      </c>
      <c r="M6" s="21">
        <v>3.77</v>
      </c>
      <c r="N6" s="21">
        <v>1.7329000000000001</v>
      </c>
      <c r="O6" s="21">
        <v>3.2835999999999999</v>
      </c>
      <c r="P6" s="21">
        <v>6.5391000000000004</v>
      </c>
      <c r="Q6" s="21">
        <v>6.1200999999999999</v>
      </c>
      <c r="R6" s="21">
        <v>90.797499999999999</v>
      </c>
      <c r="S6" s="21">
        <v>36.208599999999997</v>
      </c>
      <c r="T6" s="20" t="s">
        <v>30</v>
      </c>
      <c r="U6" s="22" t="s">
        <v>31</v>
      </c>
      <c r="V6" s="23" t="s">
        <v>32</v>
      </c>
    </row>
    <row r="7" spans="1:22" ht="15.75" customHeight="1" x14ac:dyDescent="0.25">
      <c r="A7" s="24" t="s">
        <v>33</v>
      </c>
      <c r="B7" s="25" t="s">
        <v>34</v>
      </c>
      <c r="C7" s="25" t="s">
        <v>25</v>
      </c>
      <c r="D7" s="26">
        <v>4.2335000000000003</v>
      </c>
      <c r="E7" s="26">
        <v>3.8260000000000001</v>
      </c>
      <c r="F7" s="26">
        <v>0.41260000000000002</v>
      </c>
      <c r="G7" s="26">
        <v>0.63959999999999995</v>
      </c>
      <c r="H7" s="26">
        <v>0.8498</v>
      </c>
      <c r="I7" s="26">
        <v>9.4492999999999991</v>
      </c>
      <c r="J7" s="26">
        <v>6.3421000000000003</v>
      </c>
      <c r="K7" s="26">
        <v>4.1540999999999997</v>
      </c>
      <c r="L7" s="26">
        <v>0.51149999999999995</v>
      </c>
      <c r="M7" s="26">
        <v>2.9180999999999999</v>
      </c>
      <c r="N7" s="26">
        <v>10.9239</v>
      </c>
      <c r="O7" s="26">
        <v>3.6968000000000001</v>
      </c>
      <c r="P7" s="26">
        <v>6.2732000000000001</v>
      </c>
      <c r="Q7" s="26">
        <v>6.8265000000000002</v>
      </c>
      <c r="R7" s="26">
        <v>24.898399999999999</v>
      </c>
      <c r="S7" s="26">
        <v>40.855499999999999</v>
      </c>
      <c r="T7" s="25" t="s">
        <v>35</v>
      </c>
      <c r="U7" s="27" t="s">
        <v>36</v>
      </c>
      <c r="V7" s="28" t="s">
        <v>32</v>
      </c>
    </row>
    <row r="8" spans="1:22" ht="15.75" customHeight="1" x14ac:dyDescent="0.25">
      <c r="A8" s="19" t="s">
        <v>37</v>
      </c>
      <c r="B8" s="20" t="s">
        <v>24</v>
      </c>
      <c r="C8" s="20" t="s">
        <v>38</v>
      </c>
      <c r="D8" s="21">
        <v>2.8725999999999998</v>
      </c>
      <c r="E8" s="21">
        <v>3.1271</v>
      </c>
      <c r="F8" s="21">
        <v>1.2141999999999999</v>
      </c>
      <c r="G8" s="21">
        <v>0.2233</v>
      </c>
      <c r="H8" s="21">
        <v>1.6655</v>
      </c>
      <c r="I8" s="21">
        <v>10.882</v>
      </c>
      <c r="J8" s="21">
        <v>5.6036999999999999</v>
      </c>
      <c r="K8" s="21">
        <v>4.2210000000000001</v>
      </c>
      <c r="L8" s="21">
        <v>0.58940000000000003</v>
      </c>
      <c r="M8" s="21">
        <v>3.7688999999999999</v>
      </c>
      <c r="N8" s="21">
        <v>11.025</v>
      </c>
      <c r="O8" s="21">
        <v>4.3518999999999997</v>
      </c>
      <c r="P8" s="21">
        <v>6.8040000000000003</v>
      </c>
      <c r="Q8" s="21">
        <v>7.0064000000000002</v>
      </c>
      <c r="R8" s="21">
        <v>73.8553</v>
      </c>
      <c r="S8" s="21">
        <v>47.512799999999999</v>
      </c>
      <c r="T8" s="20" t="s">
        <v>39</v>
      </c>
      <c r="U8" s="22" t="s">
        <v>40</v>
      </c>
      <c r="V8" s="23" t="s">
        <v>32</v>
      </c>
    </row>
    <row r="9" spans="1:22" ht="15.75" customHeight="1" x14ac:dyDescent="0.25">
      <c r="A9" s="24" t="s">
        <v>41</v>
      </c>
      <c r="B9" s="25" t="s">
        <v>34</v>
      </c>
      <c r="C9" s="25" t="s">
        <v>25</v>
      </c>
      <c r="D9" s="26">
        <v>2.8948999999999998</v>
      </c>
      <c r="E9" s="26">
        <v>3.9752999999999998</v>
      </c>
      <c r="F9" s="26">
        <v>2.6286999999999998</v>
      </c>
      <c r="G9" s="26">
        <v>0.3931</v>
      </c>
      <c r="H9" s="26">
        <v>1.1629</v>
      </c>
      <c r="I9" s="26">
        <v>16.878900000000002</v>
      </c>
      <c r="J9" s="26">
        <v>4.9970999999999997</v>
      </c>
      <c r="K9" s="26">
        <v>4.2107999999999999</v>
      </c>
      <c r="L9" s="26">
        <v>0.74850000000000005</v>
      </c>
      <c r="M9" s="26">
        <v>2.7795000000000001</v>
      </c>
      <c r="N9" s="26">
        <v>2.5506000000000002</v>
      </c>
      <c r="O9" s="26">
        <v>3.2492999999999999</v>
      </c>
      <c r="P9" s="26">
        <v>7.0444000000000004</v>
      </c>
      <c r="Q9" s="26">
        <v>16.884599999999999</v>
      </c>
      <c r="R9" s="26">
        <v>21.724799999999998</v>
      </c>
      <c r="S9" s="26">
        <v>51.207299999999996</v>
      </c>
      <c r="T9" s="25" t="s">
        <v>42</v>
      </c>
      <c r="U9" s="27" t="s">
        <v>43</v>
      </c>
      <c r="V9" s="28" t="s">
        <v>44</v>
      </c>
    </row>
    <row r="10" spans="1:22" ht="15.75" customHeight="1" x14ac:dyDescent="0.25">
      <c r="A10" s="19" t="s">
        <v>45</v>
      </c>
      <c r="B10" s="20" t="s">
        <v>24</v>
      </c>
      <c r="C10" s="20" t="s">
        <v>38</v>
      </c>
      <c r="D10" s="21">
        <v>4.8543000000000003</v>
      </c>
      <c r="E10" s="21">
        <v>1.4534</v>
      </c>
      <c r="F10" s="21">
        <v>1.7430000000000001</v>
      </c>
      <c r="G10" s="21">
        <v>0.77380000000000004</v>
      </c>
      <c r="H10" s="21">
        <v>0.93430000000000002</v>
      </c>
      <c r="I10" s="21">
        <v>13.9764</v>
      </c>
      <c r="J10" s="21">
        <v>4.7980999999999998</v>
      </c>
      <c r="K10" s="21">
        <v>4.4298000000000002</v>
      </c>
      <c r="L10" s="21">
        <v>0.36559999999999998</v>
      </c>
      <c r="M10" s="21">
        <v>2.9323999999999999</v>
      </c>
      <c r="N10" s="21">
        <v>5.0891000000000002</v>
      </c>
      <c r="O10" s="21">
        <v>3.8692000000000002</v>
      </c>
      <c r="P10" s="21">
        <v>6.7485999999999997</v>
      </c>
      <c r="Q10" s="21">
        <v>6.9297000000000004</v>
      </c>
      <c r="R10" s="21">
        <v>98.896900000000002</v>
      </c>
      <c r="S10" s="21">
        <v>35.984699999999997</v>
      </c>
      <c r="T10" s="20" t="s">
        <v>46</v>
      </c>
      <c r="U10" s="22" t="s">
        <v>27</v>
      </c>
      <c r="V10" s="23" t="s">
        <v>44</v>
      </c>
    </row>
    <row r="11" spans="1:22" ht="15.75" customHeight="1" x14ac:dyDescent="0.25">
      <c r="A11" s="24" t="s">
        <v>47</v>
      </c>
      <c r="B11" s="25" t="s">
        <v>24</v>
      </c>
      <c r="C11" s="25" t="s">
        <v>25</v>
      </c>
      <c r="D11" s="26">
        <v>1.6380999999999999</v>
      </c>
      <c r="E11" s="26">
        <v>3.2837000000000001</v>
      </c>
      <c r="F11" s="26">
        <v>1.1532</v>
      </c>
      <c r="G11" s="26">
        <v>0.82499999999999996</v>
      </c>
      <c r="H11" s="26">
        <v>0.55230000000000001</v>
      </c>
      <c r="I11" s="26">
        <v>15.9811</v>
      </c>
      <c r="J11" s="26">
        <v>6.6020000000000003</v>
      </c>
      <c r="K11" s="26">
        <v>3.9108000000000001</v>
      </c>
      <c r="L11" s="26">
        <v>0.75390000000000001</v>
      </c>
      <c r="M11" s="26">
        <v>4.2142999999999997</v>
      </c>
      <c r="N11" s="26">
        <v>4.8874000000000004</v>
      </c>
      <c r="O11" s="26">
        <v>4.1102999999999996</v>
      </c>
      <c r="P11" s="26">
        <v>6.3708</v>
      </c>
      <c r="Q11" s="26">
        <v>12.1625</v>
      </c>
      <c r="R11" s="26">
        <v>22.339700000000001</v>
      </c>
      <c r="S11" s="26">
        <v>55.286700000000003</v>
      </c>
      <c r="T11" s="25" t="s">
        <v>48</v>
      </c>
      <c r="U11" s="27" t="s">
        <v>31</v>
      </c>
      <c r="V11" s="28" t="s">
        <v>32</v>
      </c>
    </row>
    <row r="12" spans="1:22" ht="15.75" customHeight="1" x14ac:dyDescent="0.25">
      <c r="A12" s="19" t="s">
        <v>49</v>
      </c>
      <c r="B12" s="20" t="s">
        <v>34</v>
      </c>
      <c r="C12" s="20" t="s">
        <v>38</v>
      </c>
      <c r="D12" s="21">
        <v>4.2100999999999997</v>
      </c>
      <c r="E12" s="21">
        <v>3.1602000000000001</v>
      </c>
      <c r="F12" s="21">
        <v>1.4287000000000001</v>
      </c>
      <c r="G12" s="21">
        <v>0.69669999999999999</v>
      </c>
      <c r="H12" s="21">
        <v>0.88900000000000001</v>
      </c>
      <c r="I12" s="21">
        <v>15.120799999999999</v>
      </c>
      <c r="J12" s="21">
        <v>5.4070999999999998</v>
      </c>
      <c r="K12" s="21">
        <v>2.8805999999999998</v>
      </c>
      <c r="L12" s="21">
        <v>0.2868</v>
      </c>
      <c r="M12" s="21">
        <v>2.4493999999999998</v>
      </c>
      <c r="N12" s="21">
        <v>1.1827000000000001</v>
      </c>
      <c r="O12" s="21">
        <v>3.3168000000000002</v>
      </c>
      <c r="P12" s="21">
        <v>6.1210000000000004</v>
      </c>
      <c r="Q12" s="21">
        <v>18.576599999999999</v>
      </c>
      <c r="R12" s="21">
        <v>42.020099999999999</v>
      </c>
      <c r="S12" s="21">
        <v>36.626800000000003</v>
      </c>
      <c r="T12" s="20" t="s">
        <v>50</v>
      </c>
      <c r="U12" s="22" t="s">
        <v>36</v>
      </c>
      <c r="V12" s="23" t="s">
        <v>32</v>
      </c>
    </row>
    <row r="13" spans="1:22" ht="15.75" customHeight="1" x14ac:dyDescent="0.25">
      <c r="A13" s="14" t="s">
        <v>51</v>
      </c>
      <c r="B13" s="15" t="s">
        <v>24</v>
      </c>
      <c r="C13" s="15" t="s">
        <v>25</v>
      </c>
      <c r="D13" s="16">
        <v>0.96879999999999999</v>
      </c>
      <c r="E13" s="16">
        <v>2.1156000000000001</v>
      </c>
      <c r="F13" s="16">
        <v>2.5419</v>
      </c>
      <c r="G13" s="16">
        <v>0.3987</v>
      </c>
      <c r="H13" s="16">
        <v>1.6396999999999999</v>
      </c>
      <c r="I13" s="16">
        <v>16.917999999999999</v>
      </c>
      <c r="J13" s="16">
        <v>5.3212999999999999</v>
      </c>
      <c r="K13" s="16">
        <v>3.7618999999999998</v>
      </c>
      <c r="L13" s="16">
        <v>0.39579999999999999</v>
      </c>
      <c r="M13" s="16">
        <v>2.9125000000000001</v>
      </c>
      <c r="N13" s="16">
        <v>5.0869999999999997</v>
      </c>
      <c r="O13" s="16">
        <v>3.3235000000000001</v>
      </c>
      <c r="P13" s="16">
        <v>6.5674000000000001</v>
      </c>
      <c r="Q13" s="16">
        <v>14.7006</v>
      </c>
      <c r="R13" s="16">
        <v>49.427999999999997</v>
      </c>
      <c r="S13" s="16">
        <v>55.863599999999998</v>
      </c>
      <c r="T13" s="15" t="s">
        <v>52</v>
      </c>
      <c r="U13" s="17" t="s">
        <v>40</v>
      </c>
      <c r="V13" s="18" t="s">
        <v>28</v>
      </c>
    </row>
    <row r="14" spans="1:22" ht="15.75" customHeight="1" x14ac:dyDescent="0.25">
      <c r="A14" s="19" t="s">
        <v>53</v>
      </c>
      <c r="B14" s="20" t="s">
        <v>24</v>
      </c>
      <c r="C14" s="20" t="s">
        <v>38</v>
      </c>
      <c r="D14" s="21">
        <v>2.6528999999999998</v>
      </c>
      <c r="E14" s="21">
        <v>2.0243000000000002</v>
      </c>
      <c r="F14" s="21">
        <v>2.3679999999999999</v>
      </c>
      <c r="G14" s="21">
        <v>0.45939999999999998</v>
      </c>
      <c r="H14" s="21">
        <v>0.67</v>
      </c>
      <c r="I14" s="21">
        <v>17.088799999999999</v>
      </c>
      <c r="J14" s="21">
        <v>5.3754999999999997</v>
      </c>
      <c r="K14" s="21">
        <v>4.3403999999999998</v>
      </c>
      <c r="L14" s="21">
        <v>0.67569999999999997</v>
      </c>
      <c r="M14" s="21">
        <v>4.1125999999999996</v>
      </c>
      <c r="N14" s="21">
        <v>4.7615999999999996</v>
      </c>
      <c r="O14" s="21">
        <v>3.9672999999999998</v>
      </c>
      <c r="P14" s="21">
        <v>6.8160999999999996</v>
      </c>
      <c r="Q14" s="21">
        <v>4.4272</v>
      </c>
      <c r="R14" s="21">
        <v>25.105499999999999</v>
      </c>
      <c r="S14" s="21">
        <v>49.966299999999997</v>
      </c>
      <c r="T14" s="20" t="s">
        <v>54</v>
      </c>
      <c r="U14" s="22" t="s">
        <v>43</v>
      </c>
      <c r="V14" s="23" t="s">
        <v>44</v>
      </c>
    </row>
    <row r="15" spans="1:22" ht="15.75" customHeight="1" x14ac:dyDescent="0.25">
      <c r="A15" s="14" t="s">
        <v>55</v>
      </c>
      <c r="B15" s="15" t="s">
        <v>24</v>
      </c>
      <c r="C15" s="15" t="s">
        <v>25</v>
      </c>
      <c r="D15" s="16">
        <v>3.319</v>
      </c>
      <c r="E15" s="16">
        <v>4.2465999999999999</v>
      </c>
      <c r="F15" s="16">
        <v>0.49380000000000002</v>
      </c>
      <c r="G15" s="16">
        <v>0.28670000000000001</v>
      </c>
      <c r="H15" s="15">
        <v>0</v>
      </c>
      <c r="I15" s="16">
        <v>15.175599999999999</v>
      </c>
      <c r="J15" s="16">
        <v>5.0186999999999999</v>
      </c>
      <c r="K15" s="16">
        <v>3.6526000000000001</v>
      </c>
      <c r="L15" s="16">
        <v>0.18770000000000001</v>
      </c>
      <c r="M15" s="16">
        <v>3.6597</v>
      </c>
      <c r="N15" s="16">
        <v>9.1654999999999998</v>
      </c>
      <c r="O15" s="16">
        <v>4.1712999999999996</v>
      </c>
      <c r="P15" s="16">
        <v>6.5049999999999999</v>
      </c>
      <c r="Q15" s="16">
        <v>1.4492</v>
      </c>
      <c r="R15" s="16">
        <v>87.943899999999999</v>
      </c>
      <c r="S15" s="16">
        <v>63.869799999999998</v>
      </c>
      <c r="T15" s="15" t="s">
        <v>56</v>
      </c>
      <c r="U15" s="17" t="s">
        <v>27</v>
      </c>
      <c r="V15" s="18" t="s">
        <v>28</v>
      </c>
    </row>
    <row r="16" spans="1:22" ht="15.75" customHeight="1" x14ac:dyDescent="0.25">
      <c r="A16" s="19" t="s">
        <v>57</v>
      </c>
      <c r="B16" s="20" t="s">
        <v>24</v>
      </c>
      <c r="C16" s="20" t="s">
        <v>38</v>
      </c>
      <c r="D16" s="21">
        <v>2.3767999999999998</v>
      </c>
      <c r="E16" s="21">
        <v>2.1699000000000002</v>
      </c>
      <c r="F16" s="21">
        <v>2.0710999999999999</v>
      </c>
      <c r="G16" s="21">
        <v>0.1822</v>
      </c>
      <c r="H16" s="21">
        <v>1.7608999999999999</v>
      </c>
      <c r="I16" s="21">
        <v>13.5692</v>
      </c>
      <c r="J16" s="21">
        <v>2.8532000000000002</v>
      </c>
      <c r="K16" s="21">
        <v>3.5497000000000001</v>
      </c>
      <c r="L16" s="21">
        <v>1.4200000000000001E-2</v>
      </c>
      <c r="M16" s="21">
        <v>4.1063000000000001</v>
      </c>
      <c r="N16" s="21">
        <v>10.408200000000001</v>
      </c>
      <c r="O16" s="21">
        <v>3.9348999999999998</v>
      </c>
      <c r="P16" s="21">
        <v>6.2628000000000004</v>
      </c>
      <c r="Q16" s="21">
        <v>6.4396000000000004</v>
      </c>
      <c r="R16" s="21">
        <v>19.6572</v>
      </c>
      <c r="S16" s="21">
        <v>40.4499</v>
      </c>
      <c r="T16" s="20" t="s">
        <v>58</v>
      </c>
      <c r="U16" s="22" t="s">
        <v>31</v>
      </c>
      <c r="V16" s="23" t="s">
        <v>32</v>
      </c>
    </row>
    <row r="17" spans="1:22" ht="15.75" customHeight="1" x14ac:dyDescent="0.25">
      <c r="A17" s="24" t="s">
        <v>59</v>
      </c>
      <c r="B17" s="25" t="s">
        <v>34</v>
      </c>
      <c r="C17" s="25" t="s">
        <v>25</v>
      </c>
      <c r="D17" s="26">
        <v>4.9146000000000001</v>
      </c>
      <c r="E17" s="26">
        <v>4.8377999999999997</v>
      </c>
      <c r="F17" s="26">
        <v>0.74099999999999999</v>
      </c>
      <c r="G17" s="26">
        <v>0.72109999999999996</v>
      </c>
      <c r="H17" s="26">
        <v>0.45400000000000001</v>
      </c>
      <c r="I17" s="26">
        <v>14.703900000000001</v>
      </c>
      <c r="J17" s="26">
        <v>7.3681000000000001</v>
      </c>
      <c r="K17" s="26">
        <v>4.0316000000000001</v>
      </c>
      <c r="L17" s="26">
        <v>0.55630000000000002</v>
      </c>
      <c r="M17" s="26">
        <v>3.6709999999999998</v>
      </c>
      <c r="N17" s="26">
        <v>9.2193000000000005</v>
      </c>
      <c r="O17" s="26">
        <v>3.2206999999999999</v>
      </c>
      <c r="P17" s="26">
        <v>6.5435999999999996</v>
      </c>
      <c r="Q17" s="26">
        <v>11.694000000000001</v>
      </c>
      <c r="R17" s="26">
        <v>80.114699999999999</v>
      </c>
      <c r="S17" s="26">
        <v>43.164000000000001</v>
      </c>
      <c r="T17" s="25" t="s">
        <v>60</v>
      </c>
      <c r="U17" s="27" t="s">
        <v>36</v>
      </c>
      <c r="V17" s="28" t="s">
        <v>32</v>
      </c>
    </row>
    <row r="18" spans="1:22" ht="15.75" customHeight="1" x14ac:dyDescent="0.25">
      <c r="A18" s="19" t="s">
        <v>61</v>
      </c>
      <c r="B18" s="20" t="s">
        <v>24</v>
      </c>
      <c r="C18" s="20" t="s">
        <v>25</v>
      </c>
      <c r="D18" s="21">
        <v>1.2383</v>
      </c>
      <c r="E18" s="21">
        <v>4.5102000000000002</v>
      </c>
      <c r="F18" s="21">
        <v>0.34939999999999999</v>
      </c>
      <c r="G18" s="21">
        <v>0.40489999999999998</v>
      </c>
      <c r="H18" s="21">
        <v>1.4410000000000001</v>
      </c>
      <c r="I18" s="21">
        <v>15.401999999999999</v>
      </c>
      <c r="J18" s="21">
        <v>7.3094000000000001</v>
      </c>
      <c r="K18" s="21">
        <v>1.8182</v>
      </c>
      <c r="L18" s="21">
        <v>0.36890000000000001</v>
      </c>
      <c r="M18" s="21">
        <v>3.1896</v>
      </c>
      <c r="N18" s="21">
        <v>9.8763000000000005</v>
      </c>
      <c r="O18" s="21">
        <v>3.1469</v>
      </c>
      <c r="P18" s="21">
        <v>6.6440999999999999</v>
      </c>
      <c r="Q18" s="21">
        <v>11.897399999999999</v>
      </c>
      <c r="R18" s="21">
        <v>83.121799999999993</v>
      </c>
      <c r="S18" s="21">
        <v>33.228900000000003</v>
      </c>
      <c r="T18" s="20" t="s">
        <v>62</v>
      </c>
      <c r="U18" s="22" t="s">
        <v>40</v>
      </c>
      <c r="V18" s="23" t="s">
        <v>32</v>
      </c>
    </row>
    <row r="19" spans="1:22" ht="15.75" customHeight="1" x14ac:dyDescent="0.25">
      <c r="A19" s="24" t="s">
        <v>63</v>
      </c>
      <c r="B19" s="25" t="s">
        <v>34</v>
      </c>
      <c r="C19" s="25" t="s">
        <v>25</v>
      </c>
      <c r="D19" s="26">
        <v>3.3069999999999999</v>
      </c>
      <c r="E19" s="26">
        <v>3.4857999999999998</v>
      </c>
      <c r="F19" s="25">
        <v>0</v>
      </c>
      <c r="G19" s="26">
        <v>0.45479999999999998</v>
      </c>
      <c r="H19" s="26">
        <v>3.0499999999999999E-2</v>
      </c>
      <c r="I19" s="26">
        <v>12.351800000000001</v>
      </c>
      <c r="J19" s="26">
        <v>7.5098000000000003</v>
      </c>
      <c r="K19" s="26">
        <v>4.0267999999999997</v>
      </c>
      <c r="L19" s="26">
        <v>0.44490000000000002</v>
      </c>
      <c r="M19" s="26">
        <v>4.1181999999999999</v>
      </c>
      <c r="N19" s="26">
        <v>4.1999000000000004</v>
      </c>
      <c r="O19" s="26">
        <v>3.5912000000000002</v>
      </c>
      <c r="P19" s="26">
        <v>6.2422000000000004</v>
      </c>
      <c r="Q19" s="26">
        <v>23.363600000000002</v>
      </c>
      <c r="R19" s="26">
        <v>49.811100000000003</v>
      </c>
      <c r="S19" s="26">
        <v>38.811</v>
      </c>
      <c r="T19" s="25" t="s">
        <v>64</v>
      </c>
      <c r="U19" s="27" t="s">
        <v>43</v>
      </c>
      <c r="V19" s="28" t="s">
        <v>65</v>
      </c>
    </row>
    <row r="20" spans="1:22" ht="15.75" customHeight="1" x14ac:dyDescent="0.25">
      <c r="A20" s="19" t="s">
        <v>66</v>
      </c>
      <c r="B20" s="20" t="s">
        <v>34</v>
      </c>
      <c r="C20" s="20" t="s">
        <v>25</v>
      </c>
      <c r="D20" s="21">
        <v>3.4325999999999999</v>
      </c>
      <c r="E20" s="21">
        <v>3.3458999999999999</v>
      </c>
      <c r="F20" s="21">
        <v>1.6952</v>
      </c>
      <c r="G20" s="21">
        <v>0.77300000000000002</v>
      </c>
      <c r="H20" s="21">
        <v>1.5212000000000001</v>
      </c>
      <c r="I20" s="21">
        <v>12.9709</v>
      </c>
      <c r="J20" s="21">
        <v>8.8972999999999995</v>
      </c>
      <c r="K20" s="21">
        <v>3.7261000000000002</v>
      </c>
      <c r="L20" s="21">
        <v>0.41439999999999999</v>
      </c>
      <c r="M20" s="21">
        <v>1.6396999999999999</v>
      </c>
      <c r="N20" s="21">
        <v>2.5207000000000002</v>
      </c>
      <c r="O20" s="21">
        <v>3.9296000000000002</v>
      </c>
      <c r="P20" s="21">
        <v>6.4273999999999996</v>
      </c>
      <c r="Q20" s="21">
        <v>9.5023999999999997</v>
      </c>
      <c r="R20" s="21">
        <v>88.923199999999994</v>
      </c>
      <c r="S20" s="21">
        <v>45.596400000000003</v>
      </c>
      <c r="T20" s="20" t="s">
        <v>67</v>
      </c>
      <c r="U20" s="22" t="s">
        <v>27</v>
      </c>
      <c r="V20" s="23" t="s">
        <v>44</v>
      </c>
    </row>
    <row r="21" spans="1:22" ht="15.75" customHeight="1" x14ac:dyDescent="0.25">
      <c r="A21" s="24" t="s">
        <v>68</v>
      </c>
      <c r="B21" s="25" t="s">
        <v>34</v>
      </c>
      <c r="C21" s="25" t="s">
        <v>38</v>
      </c>
      <c r="D21" s="26">
        <v>5.3754999999999997</v>
      </c>
      <c r="E21" s="26">
        <v>2.7225000000000001</v>
      </c>
      <c r="F21" s="26">
        <v>2.2435</v>
      </c>
      <c r="G21" s="25">
        <v>0</v>
      </c>
      <c r="H21" s="26">
        <v>0.95389999999999997</v>
      </c>
      <c r="I21" s="26">
        <v>15.400700000000001</v>
      </c>
      <c r="J21" s="26">
        <v>5.6615000000000002</v>
      </c>
      <c r="K21" s="26">
        <v>4.4359999999999999</v>
      </c>
      <c r="L21" s="26">
        <v>0.29459999999999997</v>
      </c>
      <c r="M21" s="26">
        <v>4.0826000000000002</v>
      </c>
      <c r="N21" s="26">
        <v>0.38919999999999999</v>
      </c>
      <c r="O21" s="26">
        <v>3.6113</v>
      </c>
      <c r="P21" s="26">
        <v>5.9005999999999998</v>
      </c>
      <c r="Q21" s="26">
        <v>17.415500000000002</v>
      </c>
      <c r="R21" s="26">
        <v>43.688400000000001</v>
      </c>
      <c r="S21" s="26">
        <v>37.514299999999999</v>
      </c>
      <c r="T21" s="25" t="s">
        <v>69</v>
      </c>
      <c r="U21" s="27" t="s">
        <v>31</v>
      </c>
      <c r="V21" s="28" t="s">
        <v>32</v>
      </c>
    </row>
    <row r="22" spans="1:22" ht="15.75" customHeight="1" x14ac:dyDescent="0.25">
      <c r="A22" s="19" t="s">
        <v>70</v>
      </c>
      <c r="B22" s="20" t="s">
        <v>34</v>
      </c>
      <c r="C22" s="20" t="s">
        <v>25</v>
      </c>
      <c r="D22" s="21">
        <v>3.0152999999999999</v>
      </c>
      <c r="E22" s="21">
        <v>3.948</v>
      </c>
      <c r="F22" s="20">
        <v>0</v>
      </c>
      <c r="G22" s="21">
        <v>0.76129999999999998</v>
      </c>
      <c r="H22" s="21">
        <v>0.90620000000000001</v>
      </c>
      <c r="I22" s="21">
        <v>11.7477</v>
      </c>
      <c r="J22" s="21">
        <v>7.0529000000000002</v>
      </c>
      <c r="K22" s="21">
        <v>3.7603</v>
      </c>
      <c r="L22" s="21">
        <v>0.61990000000000001</v>
      </c>
      <c r="M22" s="21">
        <v>2.4872000000000001</v>
      </c>
      <c r="N22" s="21">
        <v>4.2576000000000001</v>
      </c>
      <c r="O22" s="21">
        <v>3.8157000000000001</v>
      </c>
      <c r="P22" s="21">
        <v>6.3166000000000002</v>
      </c>
      <c r="Q22" s="21">
        <v>9.2125000000000004</v>
      </c>
      <c r="R22" s="21">
        <v>90.4803</v>
      </c>
      <c r="S22" s="21">
        <v>36.595399999999998</v>
      </c>
      <c r="T22" s="20" t="s">
        <v>71</v>
      </c>
      <c r="U22" s="22" t="s">
        <v>36</v>
      </c>
      <c r="V22" s="23" t="s">
        <v>32</v>
      </c>
    </row>
    <row r="23" spans="1:22" ht="15.75" customHeight="1" x14ac:dyDescent="0.25">
      <c r="A23" s="24" t="s">
        <v>72</v>
      </c>
      <c r="B23" s="25" t="s">
        <v>24</v>
      </c>
      <c r="C23" s="25" t="s">
        <v>38</v>
      </c>
      <c r="D23" s="26">
        <v>3.3845000000000001</v>
      </c>
      <c r="E23" s="26">
        <v>2.1206</v>
      </c>
      <c r="F23" s="26">
        <v>1.6601999999999999</v>
      </c>
      <c r="G23" s="26">
        <v>0.97519999999999996</v>
      </c>
      <c r="H23" s="26">
        <v>1.0216000000000001</v>
      </c>
      <c r="I23" s="26">
        <v>15.9297</v>
      </c>
      <c r="J23" s="26">
        <v>5.2348999999999997</v>
      </c>
      <c r="K23" s="26">
        <v>4.0256999999999996</v>
      </c>
      <c r="L23" s="26">
        <v>0.56299999999999994</v>
      </c>
      <c r="M23" s="26">
        <v>2.5773000000000001</v>
      </c>
      <c r="N23" s="26">
        <v>8.9823000000000004</v>
      </c>
      <c r="O23" s="26">
        <v>3.2031999999999998</v>
      </c>
      <c r="P23" s="26">
        <v>7.0098000000000003</v>
      </c>
      <c r="Q23" s="26">
        <v>14.8363</v>
      </c>
      <c r="R23" s="26">
        <v>40.603000000000002</v>
      </c>
      <c r="S23" s="26">
        <v>46.822499999999998</v>
      </c>
      <c r="T23" s="25" t="s">
        <v>73</v>
      </c>
      <c r="U23" s="27" t="s">
        <v>40</v>
      </c>
      <c r="V23" s="28" t="s">
        <v>44</v>
      </c>
    </row>
    <row r="24" spans="1:22" ht="15.75" customHeight="1" x14ac:dyDescent="0.25">
      <c r="A24" s="19" t="s">
        <v>74</v>
      </c>
      <c r="B24" s="20" t="s">
        <v>24</v>
      </c>
      <c r="C24" s="20" t="s">
        <v>38</v>
      </c>
      <c r="D24" s="21">
        <v>4.7282000000000002</v>
      </c>
      <c r="E24" s="21">
        <v>2.5381999999999998</v>
      </c>
      <c r="F24" s="21">
        <v>1.5501</v>
      </c>
      <c r="G24" s="21">
        <v>0.20710000000000001</v>
      </c>
      <c r="H24" s="21">
        <v>0.89559999999999995</v>
      </c>
      <c r="I24" s="21">
        <v>10.4549</v>
      </c>
      <c r="J24" s="21">
        <v>6.8837999999999999</v>
      </c>
      <c r="K24" s="21">
        <v>3.0364</v>
      </c>
      <c r="L24" s="21">
        <v>0.1983</v>
      </c>
      <c r="M24" s="21">
        <v>3.1036000000000001</v>
      </c>
      <c r="N24" s="21">
        <v>2.7982999999999998</v>
      </c>
      <c r="O24" s="21">
        <v>3.9687000000000001</v>
      </c>
      <c r="P24" s="21">
        <v>6.3951000000000002</v>
      </c>
      <c r="Q24" s="21">
        <v>3.2004999999999999</v>
      </c>
      <c r="R24" s="21">
        <v>73.579099999999997</v>
      </c>
      <c r="S24" s="21">
        <v>49.8384</v>
      </c>
      <c r="T24" s="20" t="s">
        <v>75</v>
      </c>
      <c r="U24" s="22" t="s">
        <v>43</v>
      </c>
      <c r="V24" s="23" t="s">
        <v>32</v>
      </c>
    </row>
    <row r="25" spans="1:22" ht="15.75" customHeight="1" x14ac:dyDescent="0.25">
      <c r="A25" s="24" t="s">
        <v>76</v>
      </c>
      <c r="B25" s="25" t="s">
        <v>24</v>
      </c>
      <c r="C25" s="25" t="s">
        <v>25</v>
      </c>
      <c r="D25" s="26">
        <v>1.798</v>
      </c>
      <c r="E25" s="26">
        <v>2.9076</v>
      </c>
      <c r="F25" s="26">
        <v>0.67320000000000002</v>
      </c>
      <c r="G25" s="26">
        <v>0.48570000000000002</v>
      </c>
      <c r="H25" s="26">
        <v>1.4959</v>
      </c>
      <c r="I25" s="26">
        <v>10.766400000000001</v>
      </c>
      <c r="J25" s="26">
        <v>4.6299000000000001</v>
      </c>
      <c r="K25" s="26">
        <v>4.6231999999999998</v>
      </c>
      <c r="L25" s="26">
        <v>0.31259999999999999</v>
      </c>
      <c r="M25" s="26">
        <v>3.5061</v>
      </c>
      <c r="N25" s="26">
        <v>9.7433999999999994</v>
      </c>
      <c r="O25" s="26">
        <v>3.9306999999999999</v>
      </c>
      <c r="P25" s="26">
        <v>6.4001999999999999</v>
      </c>
      <c r="Q25" s="26">
        <v>10.171799999999999</v>
      </c>
      <c r="R25" s="26">
        <v>86.750600000000006</v>
      </c>
      <c r="S25" s="26">
        <v>41.812199999999997</v>
      </c>
      <c r="T25" s="25" t="s">
        <v>77</v>
      </c>
      <c r="U25" s="27" t="s">
        <v>27</v>
      </c>
      <c r="V25" s="28" t="s">
        <v>32</v>
      </c>
    </row>
    <row r="26" spans="1:22" ht="15.75" customHeight="1" x14ac:dyDescent="0.25">
      <c r="A26" s="19" t="s">
        <v>78</v>
      </c>
      <c r="B26" s="20" t="s">
        <v>24</v>
      </c>
      <c r="C26" s="20" t="s">
        <v>38</v>
      </c>
      <c r="D26" s="21">
        <v>4.2084999999999999</v>
      </c>
      <c r="E26" s="21">
        <v>2.9502000000000002</v>
      </c>
      <c r="F26" s="21">
        <v>2.0575999999999999</v>
      </c>
      <c r="G26" s="21">
        <v>0.50109999999999999</v>
      </c>
      <c r="H26" s="21">
        <v>1.373</v>
      </c>
      <c r="I26" s="21">
        <v>12.847200000000001</v>
      </c>
      <c r="J26" s="21">
        <v>6.3419999999999996</v>
      </c>
      <c r="K26" s="21">
        <v>4.3086000000000002</v>
      </c>
      <c r="L26" s="21">
        <v>0.58960000000000001</v>
      </c>
      <c r="M26" s="21">
        <v>3.0979000000000001</v>
      </c>
      <c r="N26" s="21">
        <v>8.1175999999999995</v>
      </c>
      <c r="O26" s="21">
        <v>3.0417999999999998</v>
      </c>
      <c r="P26" s="21">
        <v>6.2721</v>
      </c>
      <c r="Q26" s="21">
        <v>19.029800000000002</v>
      </c>
      <c r="R26" s="21">
        <v>66.731700000000004</v>
      </c>
      <c r="S26" s="21">
        <v>41.668399999999998</v>
      </c>
      <c r="T26" s="20" t="s">
        <v>79</v>
      </c>
      <c r="U26" s="22" t="s">
        <v>31</v>
      </c>
      <c r="V26" s="23" t="s">
        <v>44</v>
      </c>
    </row>
    <row r="27" spans="1:22" ht="15.75" customHeight="1" x14ac:dyDescent="0.25">
      <c r="A27" s="24" t="s">
        <v>80</v>
      </c>
      <c r="B27" s="25" t="s">
        <v>24</v>
      </c>
      <c r="C27" s="25" t="s">
        <v>38</v>
      </c>
      <c r="D27" s="26">
        <v>2.9613999999999998</v>
      </c>
      <c r="E27" s="25">
        <v>0</v>
      </c>
      <c r="F27" s="26">
        <v>0.38540000000000002</v>
      </c>
      <c r="G27" s="26">
        <v>2.6499999999999999E-2</v>
      </c>
      <c r="H27" s="26">
        <v>1.4422999999999999</v>
      </c>
      <c r="I27" s="26">
        <v>19.8751</v>
      </c>
      <c r="J27" s="26">
        <v>5.1326000000000001</v>
      </c>
      <c r="K27" s="26">
        <v>4.8171999999999997</v>
      </c>
      <c r="L27" s="26">
        <v>0.40539999999999998</v>
      </c>
      <c r="M27" s="26">
        <v>2.2227000000000001</v>
      </c>
      <c r="N27" s="26">
        <v>8.9273000000000007</v>
      </c>
      <c r="O27" s="26">
        <v>4.1238999999999999</v>
      </c>
      <c r="P27" s="26">
        <v>6.5449999999999999</v>
      </c>
      <c r="Q27" s="26">
        <v>11.641</v>
      </c>
      <c r="R27" s="26">
        <v>64.813599999999994</v>
      </c>
      <c r="S27" s="26">
        <v>27.9039</v>
      </c>
      <c r="T27" s="25" t="s">
        <v>81</v>
      </c>
      <c r="U27" s="27" t="s">
        <v>36</v>
      </c>
      <c r="V27" s="28" t="s">
        <v>32</v>
      </c>
    </row>
    <row r="28" spans="1:22" ht="15.75" customHeight="1" x14ac:dyDescent="0.25">
      <c r="A28" s="19" t="s">
        <v>82</v>
      </c>
      <c r="B28" s="20" t="s">
        <v>34</v>
      </c>
      <c r="C28" s="20" t="s">
        <v>38</v>
      </c>
      <c r="D28" s="21">
        <v>5.5622999999999996</v>
      </c>
      <c r="E28" s="21">
        <v>3.3178999999999998</v>
      </c>
      <c r="F28" s="21">
        <v>2.1021999999999998</v>
      </c>
      <c r="G28" s="21">
        <v>0.64300000000000002</v>
      </c>
      <c r="H28" s="21">
        <v>1.4429000000000001</v>
      </c>
      <c r="I28" s="21">
        <v>6.9945000000000004</v>
      </c>
      <c r="J28" s="21">
        <v>9.4825999999999997</v>
      </c>
      <c r="K28" s="21">
        <v>4.9261999999999997</v>
      </c>
      <c r="L28" s="21">
        <v>0.54949999999999999</v>
      </c>
      <c r="M28" s="21">
        <v>4.2488999999999999</v>
      </c>
      <c r="N28" s="21">
        <v>9.4395000000000007</v>
      </c>
      <c r="O28" s="21">
        <v>3.7770000000000001</v>
      </c>
      <c r="P28" s="21">
        <v>6.7340999999999998</v>
      </c>
      <c r="Q28" s="21">
        <v>17.106400000000001</v>
      </c>
      <c r="R28" s="21">
        <v>63.865099999999998</v>
      </c>
      <c r="S28" s="21">
        <v>22.424499999999998</v>
      </c>
      <c r="T28" s="20" t="s">
        <v>83</v>
      </c>
      <c r="U28" s="22" t="s">
        <v>40</v>
      </c>
      <c r="V28" s="23" t="s">
        <v>44</v>
      </c>
    </row>
    <row r="29" spans="1:22" ht="15.75" customHeight="1" x14ac:dyDescent="0.25">
      <c r="A29" s="24" t="s">
        <v>84</v>
      </c>
      <c r="B29" s="25" t="s">
        <v>34</v>
      </c>
      <c r="C29" s="25" t="s">
        <v>38</v>
      </c>
      <c r="D29" s="26">
        <v>5.0640999999999998</v>
      </c>
      <c r="E29" s="26">
        <v>4.2834000000000003</v>
      </c>
      <c r="F29" s="26">
        <v>1.6839</v>
      </c>
      <c r="G29" s="26">
        <v>0.5786</v>
      </c>
      <c r="H29" s="26">
        <v>1.1884999999999999</v>
      </c>
      <c r="I29" s="26">
        <v>13.885999999999999</v>
      </c>
      <c r="J29" s="26">
        <v>4.8173000000000004</v>
      </c>
      <c r="K29" s="26">
        <v>3.8429000000000002</v>
      </c>
      <c r="L29" s="26">
        <v>0.3498</v>
      </c>
      <c r="M29" s="26">
        <v>2.7088000000000001</v>
      </c>
      <c r="N29" s="26">
        <v>6.0285000000000002</v>
      </c>
      <c r="O29" s="26">
        <v>3.8662000000000001</v>
      </c>
      <c r="P29" s="26">
        <v>6.5991999999999997</v>
      </c>
      <c r="Q29" s="26">
        <v>3.6200999999999999</v>
      </c>
      <c r="R29" s="26">
        <v>23.621200000000002</v>
      </c>
      <c r="S29" s="26">
        <v>40.872399999999999</v>
      </c>
      <c r="T29" s="25" t="s">
        <v>85</v>
      </c>
      <c r="U29" s="27" t="s">
        <v>43</v>
      </c>
      <c r="V29" s="28" t="s">
        <v>32</v>
      </c>
    </row>
    <row r="30" spans="1:22" ht="18" customHeight="1" x14ac:dyDescent="0.25">
      <c r="A30" s="4" t="s">
        <v>86</v>
      </c>
      <c r="B30" s="4"/>
      <c r="C30" s="4"/>
      <c r="D30" s="29">
        <f t="shared" ref="D30:S30" si="0">AVERAGE(D5:D29)</f>
        <v>3.2672439999999998</v>
      </c>
      <c r="E30" s="29">
        <f t="shared" si="0"/>
        <v>3.0314199999999998</v>
      </c>
      <c r="F30" s="29">
        <f t="shared" si="0"/>
        <v>1.337904</v>
      </c>
      <c r="G30" s="29">
        <f t="shared" si="0"/>
        <v>0.45912799999999993</v>
      </c>
      <c r="H30" s="29">
        <f t="shared" si="0"/>
        <v>1.0488039999999998</v>
      </c>
      <c r="I30" s="29">
        <f t="shared" si="0"/>
        <v>13.771892000000001</v>
      </c>
      <c r="J30" s="29">
        <f t="shared" si="0"/>
        <v>6.0719559999999992</v>
      </c>
      <c r="K30" s="29">
        <f t="shared" si="0"/>
        <v>4.0236119999999991</v>
      </c>
      <c r="L30" s="29">
        <f t="shared" si="0"/>
        <v>0.42988800000000005</v>
      </c>
      <c r="M30" s="29">
        <f t="shared" si="0"/>
        <v>3.239452</v>
      </c>
      <c r="N30" s="29">
        <f t="shared" si="0"/>
        <v>6.4388760000000014</v>
      </c>
      <c r="O30" s="29">
        <f t="shared" si="0"/>
        <v>3.6667560000000003</v>
      </c>
      <c r="P30" s="29">
        <f t="shared" si="0"/>
        <v>6.5197159999999998</v>
      </c>
      <c r="Q30" s="29">
        <f t="shared" si="0"/>
        <v>11.304863999999998</v>
      </c>
      <c r="R30" s="29">
        <f t="shared" si="0"/>
        <v>60.373116000000003</v>
      </c>
      <c r="S30" s="29">
        <f t="shared" si="0"/>
        <v>42.892852000000005</v>
      </c>
    </row>
  </sheetData>
  <mergeCells count="4">
    <mergeCell ref="A1:V1"/>
    <mergeCell ref="A2:V2"/>
    <mergeCell ref="A3:V3"/>
    <mergeCell ref="A30:C3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8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O1"/>
    </sheetView>
  </sheetViews>
  <sheetFormatPr baseColWidth="10" defaultColWidth="8.7109375" defaultRowHeight="15" x14ac:dyDescent="0.25"/>
  <cols>
    <col min="1" max="1" width="16" customWidth="1"/>
    <col min="2" max="2" width="9" customWidth="1"/>
    <col min="3" max="3" width="10" customWidth="1"/>
    <col min="4" max="5" width="9" customWidth="1"/>
    <col min="6" max="6" width="8" customWidth="1"/>
    <col min="7" max="8" width="9" customWidth="1"/>
    <col min="9" max="9" width="8" customWidth="1"/>
    <col min="10" max="11" width="9" customWidth="1"/>
    <col min="12" max="12" width="8" customWidth="1"/>
    <col min="13" max="14" width="9" customWidth="1"/>
    <col min="15" max="15" width="8" customWidth="1"/>
    <col min="16" max="17" width="9" customWidth="1"/>
    <col min="18" max="18" width="8" customWidth="1"/>
    <col min="19" max="20" width="9" customWidth="1"/>
    <col min="21" max="21" width="8" customWidth="1"/>
    <col min="22" max="23" width="9" customWidth="1"/>
    <col min="24" max="24" width="8" customWidth="1"/>
    <col min="25" max="26" width="9" customWidth="1"/>
    <col min="27" max="27" width="8" customWidth="1"/>
    <col min="28" max="28" width="14" customWidth="1"/>
    <col min="29" max="29" width="12" customWidth="1"/>
  </cols>
  <sheetData>
    <row r="1" spans="1:29" ht="25.5" customHeight="1" x14ac:dyDescent="0.25">
      <c r="A1" s="3" t="s">
        <v>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29" ht="15.75" customHeight="1" x14ac:dyDescent="0.25">
      <c r="A2" s="2" t="s">
        <v>88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29" ht="31.5" customHeight="1" x14ac:dyDescent="0.25">
      <c r="A3" s="30" t="s">
        <v>1</v>
      </c>
      <c r="B3" s="30" t="s">
        <v>2</v>
      </c>
      <c r="C3" s="30" t="s">
        <v>89</v>
      </c>
      <c r="D3" s="31" t="s">
        <v>90</v>
      </c>
      <c r="E3" s="32" t="s">
        <v>91</v>
      </c>
      <c r="F3" s="33" t="s">
        <v>92</v>
      </c>
      <c r="G3" s="31" t="s">
        <v>93</v>
      </c>
      <c r="H3" s="32" t="s">
        <v>94</v>
      </c>
      <c r="I3" s="33" t="s">
        <v>95</v>
      </c>
      <c r="J3" s="31" t="s">
        <v>96</v>
      </c>
      <c r="K3" s="32" t="s">
        <v>97</v>
      </c>
      <c r="L3" s="33" t="s">
        <v>98</v>
      </c>
      <c r="M3" s="31" t="s">
        <v>99</v>
      </c>
      <c r="N3" s="32" t="s">
        <v>100</v>
      </c>
      <c r="O3" s="33" t="s">
        <v>101</v>
      </c>
      <c r="P3" s="31" t="s">
        <v>102</v>
      </c>
      <c r="Q3" s="32" t="s">
        <v>103</v>
      </c>
      <c r="R3" s="33" t="s">
        <v>104</v>
      </c>
      <c r="S3" s="31" t="s">
        <v>105</v>
      </c>
      <c r="T3" s="32" t="s">
        <v>106</v>
      </c>
      <c r="U3" s="33" t="s">
        <v>107</v>
      </c>
      <c r="V3" s="31" t="s">
        <v>108</v>
      </c>
      <c r="W3" s="32" t="s">
        <v>109</v>
      </c>
      <c r="X3" s="33" t="s">
        <v>110</v>
      </c>
      <c r="Y3" s="31" t="s">
        <v>111</v>
      </c>
      <c r="Z3" s="32" t="s">
        <v>112</v>
      </c>
      <c r="AA3" s="33" t="s">
        <v>113</v>
      </c>
      <c r="AB3" s="34" t="s">
        <v>114</v>
      </c>
      <c r="AC3" s="34" t="s">
        <v>115</v>
      </c>
    </row>
    <row r="4" spans="1:29" ht="13.5" customHeight="1" x14ac:dyDescent="0.25">
      <c r="A4" s="35" t="s">
        <v>23</v>
      </c>
      <c r="B4" s="36" t="s">
        <v>24</v>
      </c>
      <c r="C4" s="36" t="s">
        <v>25</v>
      </c>
      <c r="D4" s="37">
        <v>1.49</v>
      </c>
      <c r="E4" s="38">
        <v>1.5218</v>
      </c>
      <c r="F4" s="39">
        <v>3.1800000000000099E-2</v>
      </c>
      <c r="G4" s="37">
        <v>3.21</v>
      </c>
      <c r="H4" s="38">
        <v>3.2581000000000002</v>
      </c>
      <c r="I4" s="39">
        <v>4.8100000000000302E-2</v>
      </c>
      <c r="J4" s="37">
        <v>1.04</v>
      </c>
      <c r="K4" s="38">
        <v>1.0154000000000001</v>
      </c>
      <c r="L4" s="39">
        <v>2.46E-2</v>
      </c>
      <c r="M4" s="37">
        <v>0.08</v>
      </c>
      <c r="N4" s="38">
        <v>8.0999999999999996E-3</v>
      </c>
      <c r="O4" s="39">
        <v>7.1900000000000006E-2</v>
      </c>
      <c r="P4" s="37">
        <v>0.34</v>
      </c>
      <c r="Q4" s="38">
        <v>6.5199999999999994E-2</v>
      </c>
      <c r="R4" s="39">
        <v>0.27479999999999999</v>
      </c>
      <c r="S4" s="37">
        <v>16.370619361676798</v>
      </c>
      <c r="T4" s="38">
        <v>16.891200000000001</v>
      </c>
      <c r="U4" s="39">
        <v>0.52058063832318202</v>
      </c>
      <c r="V4" s="37">
        <v>2.66</v>
      </c>
      <c r="W4" s="38">
        <v>2.6715</v>
      </c>
      <c r="X4" s="39">
        <v>1.14999999999998E-2</v>
      </c>
      <c r="Y4" s="37">
        <v>9.8800000000000008</v>
      </c>
      <c r="Z4" s="38">
        <v>8.9246999999999996</v>
      </c>
      <c r="AA4" s="39">
        <v>0.95530000000000104</v>
      </c>
      <c r="AB4" s="40" t="s">
        <v>116</v>
      </c>
      <c r="AC4" s="41" t="s">
        <v>117</v>
      </c>
    </row>
    <row r="5" spans="1:29" ht="13.5" customHeight="1" x14ac:dyDescent="0.25">
      <c r="A5" s="42" t="s">
        <v>29</v>
      </c>
      <c r="B5" s="43" t="s">
        <v>24</v>
      </c>
      <c r="C5" s="43" t="s">
        <v>25</v>
      </c>
      <c r="D5" s="44">
        <v>1.5</v>
      </c>
      <c r="E5" s="45">
        <v>1.2905</v>
      </c>
      <c r="F5" s="39">
        <v>0.20949999999999999</v>
      </c>
      <c r="G5" s="44">
        <v>2.16</v>
      </c>
      <c r="H5" s="45">
        <v>2.1608000000000001</v>
      </c>
      <c r="I5" s="39">
        <v>7.99999999999912E-4</v>
      </c>
      <c r="J5" s="44">
        <v>1.2</v>
      </c>
      <c r="K5" s="45">
        <v>1.2130000000000001</v>
      </c>
      <c r="L5" s="39">
        <v>1.30000000000001E-2</v>
      </c>
      <c r="M5" s="44">
        <v>0</v>
      </c>
      <c r="N5" s="45">
        <v>7.9200000000000007E-2</v>
      </c>
      <c r="O5" s="39">
        <v>7.9200000000000007E-2</v>
      </c>
      <c r="P5" s="44">
        <v>1.33</v>
      </c>
      <c r="Q5" s="45">
        <v>1.1114999999999999</v>
      </c>
      <c r="R5" s="39">
        <v>0.2185</v>
      </c>
      <c r="S5" s="44">
        <v>10.118847299807401</v>
      </c>
      <c r="T5" s="45">
        <v>9.8145000000000007</v>
      </c>
      <c r="U5" s="39">
        <v>0.304347299807391</v>
      </c>
      <c r="V5" s="44">
        <v>3.84</v>
      </c>
      <c r="W5" s="45">
        <v>3.8567</v>
      </c>
      <c r="X5" s="39">
        <v>1.6700000000000201E-2</v>
      </c>
      <c r="Y5" s="44">
        <v>2.5099999999999998</v>
      </c>
      <c r="Z5" s="45">
        <v>2.6343999999999999</v>
      </c>
      <c r="AA5" s="39">
        <v>0.1244</v>
      </c>
      <c r="AB5" s="40" t="s">
        <v>116</v>
      </c>
      <c r="AC5" s="41" t="s">
        <v>117</v>
      </c>
    </row>
    <row r="6" spans="1:29" ht="13.5" customHeight="1" x14ac:dyDescent="0.25">
      <c r="A6" s="46" t="s">
        <v>33</v>
      </c>
      <c r="B6" s="47" t="s">
        <v>34</v>
      </c>
      <c r="C6" s="47" t="s">
        <v>25</v>
      </c>
      <c r="D6" s="48">
        <v>4.01</v>
      </c>
      <c r="E6" s="49">
        <v>3.7946</v>
      </c>
      <c r="F6" s="39">
        <v>0.21540000000000001</v>
      </c>
      <c r="G6" s="48">
        <v>3.67</v>
      </c>
      <c r="H6" s="49">
        <v>3.6581000000000001</v>
      </c>
      <c r="I6" s="39">
        <v>1.18999999999998E-2</v>
      </c>
      <c r="J6" s="48">
        <v>0.36</v>
      </c>
      <c r="K6" s="40">
        <v>0</v>
      </c>
      <c r="L6" s="39">
        <v>0.36</v>
      </c>
      <c r="M6" s="48">
        <v>0.62</v>
      </c>
      <c r="N6" s="49">
        <v>0.58089999999999997</v>
      </c>
      <c r="O6" s="39">
        <v>3.9100000000000003E-2</v>
      </c>
      <c r="P6" s="48">
        <v>0.82</v>
      </c>
      <c r="Q6" s="49">
        <v>0.76829999999999998</v>
      </c>
      <c r="R6" s="39">
        <v>5.1700000000000003E-2</v>
      </c>
      <c r="S6" s="48">
        <v>9.8301772899050892</v>
      </c>
      <c r="T6" s="49">
        <v>10.275</v>
      </c>
      <c r="U6" s="39">
        <v>0.44482271009491298</v>
      </c>
      <c r="V6" s="48">
        <v>2.95</v>
      </c>
      <c r="W6" s="49">
        <v>2.8978000000000002</v>
      </c>
      <c r="X6" s="39">
        <v>5.2200000000000003E-2</v>
      </c>
      <c r="Y6" s="48">
        <v>11.97</v>
      </c>
      <c r="Z6" s="49">
        <v>11.2661</v>
      </c>
      <c r="AA6" s="39">
        <v>0.70390000000000097</v>
      </c>
      <c r="AB6" s="40" t="s">
        <v>116</v>
      </c>
      <c r="AC6" s="41" t="s">
        <v>117</v>
      </c>
    </row>
    <row r="7" spans="1:29" ht="13.5" customHeight="1" x14ac:dyDescent="0.25">
      <c r="A7" s="42" t="s">
        <v>37</v>
      </c>
      <c r="B7" s="43" t="s">
        <v>24</v>
      </c>
      <c r="C7" s="43" t="s">
        <v>38</v>
      </c>
      <c r="D7" s="44">
        <v>2.8</v>
      </c>
      <c r="E7" s="45">
        <v>2.7202999999999999</v>
      </c>
      <c r="F7" s="39">
        <v>7.9699999999999896E-2</v>
      </c>
      <c r="G7" s="44">
        <v>3.01</v>
      </c>
      <c r="H7" s="45">
        <v>2.9039999999999999</v>
      </c>
      <c r="I7" s="39">
        <v>0.106</v>
      </c>
      <c r="J7" s="44">
        <v>0.71</v>
      </c>
      <c r="K7" s="45">
        <v>0.19059999999999999</v>
      </c>
      <c r="L7" s="39">
        <v>0.51939999999999997</v>
      </c>
      <c r="M7" s="44">
        <v>0.3</v>
      </c>
      <c r="N7" s="45">
        <v>0.2697</v>
      </c>
      <c r="O7" s="39">
        <v>3.0300000000000001E-2</v>
      </c>
      <c r="P7" s="44">
        <v>1.66</v>
      </c>
      <c r="Q7" s="45">
        <v>1.9142999999999999</v>
      </c>
      <c r="R7" s="39">
        <v>0.25430000000000003</v>
      </c>
      <c r="S7" s="44">
        <v>11.3280424141411</v>
      </c>
      <c r="T7" s="45">
        <v>11.5002</v>
      </c>
      <c r="U7" s="39">
        <v>0.172157585858944</v>
      </c>
      <c r="V7" s="44">
        <v>3.71</v>
      </c>
      <c r="W7" s="45">
        <v>3.6585000000000001</v>
      </c>
      <c r="X7" s="39">
        <v>5.14999999999999E-2</v>
      </c>
      <c r="Y7" s="44">
        <v>11.6</v>
      </c>
      <c r="Z7" s="45">
        <v>11.870100000000001</v>
      </c>
      <c r="AA7" s="39">
        <v>0.27010000000000101</v>
      </c>
      <c r="AB7" s="40" t="s">
        <v>116</v>
      </c>
      <c r="AC7" s="41" t="s">
        <v>117</v>
      </c>
    </row>
    <row r="8" spans="1:29" ht="13.5" customHeight="1" x14ac:dyDescent="0.25">
      <c r="A8" s="46" t="s">
        <v>41</v>
      </c>
      <c r="B8" s="47" t="s">
        <v>34</v>
      </c>
      <c r="C8" s="47" t="s">
        <v>25</v>
      </c>
      <c r="D8" s="48">
        <v>2.97</v>
      </c>
      <c r="E8" s="49">
        <v>3.0911</v>
      </c>
      <c r="F8" s="39">
        <v>0.1211</v>
      </c>
      <c r="G8" s="48">
        <v>4.01</v>
      </c>
      <c r="H8" s="49">
        <v>4.0046999999999997</v>
      </c>
      <c r="I8" s="39">
        <v>5.3000000000000798E-3</v>
      </c>
      <c r="J8" s="48">
        <v>2.21</v>
      </c>
      <c r="K8" s="49">
        <v>2.6762000000000001</v>
      </c>
      <c r="L8" s="39">
        <v>0.4662</v>
      </c>
      <c r="M8" s="48">
        <v>0.37</v>
      </c>
      <c r="N8" s="49">
        <v>0.42370000000000002</v>
      </c>
      <c r="O8" s="39">
        <v>5.3699999999999998E-2</v>
      </c>
      <c r="P8" s="48">
        <v>1.19</v>
      </c>
      <c r="Q8" s="49">
        <v>1.4621999999999999</v>
      </c>
      <c r="R8" s="39">
        <v>0.2722</v>
      </c>
      <c r="S8" s="48">
        <v>17.226178972541099</v>
      </c>
      <c r="T8" s="49">
        <v>17.610700000000001</v>
      </c>
      <c r="U8" s="39">
        <v>0.38452102745890598</v>
      </c>
      <c r="V8" s="48">
        <v>2.81</v>
      </c>
      <c r="W8" s="49">
        <v>2.8132999999999999</v>
      </c>
      <c r="X8" s="39">
        <v>3.2999999999998599E-3</v>
      </c>
      <c r="Y8" s="48">
        <v>2.1</v>
      </c>
      <c r="Z8" s="49">
        <v>2.1665999999999999</v>
      </c>
      <c r="AA8" s="39">
        <v>6.6599999999999798E-2</v>
      </c>
      <c r="AB8" s="40" t="s">
        <v>116</v>
      </c>
      <c r="AC8" s="41" t="s">
        <v>117</v>
      </c>
    </row>
    <row r="9" spans="1:29" ht="13.5" customHeight="1" x14ac:dyDescent="0.25">
      <c r="A9" s="42" t="s">
        <v>45</v>
      </c>
      <c r="B9" s="43" t="s">
        <v>24</v>
      </c>
      <c r="C9" s="43" t="s">
        <v>38</v>
      </c>
      <c r="D9" s="44">
        <v>4.7300000000000004</v>
      </c>
      <c r="E9" s="45">
        <v>4.6121999999999996</v>
      </c>
      <c r="F9" s="39">
        <v>0.117800000000001</v>
      </c>
      <c r="G9" s="44">
        <v>1.32</v>
      </c>
      <c r="H9" s="45">
        <v>1.2778</v>
      </c>
      <c r="I9" s="39">
        <v>4.2200000000000001E-2</v>
      </c>
      <c r="J9" s="44">
        <v>1.9</v>
      </c>
      <c r="K9" s="45">
        <v>1.901</v>
      </c>
      <c r="L9" s="39">
        <v>1.00000000000011E-3</v>
      </c>
      <c r="M9" s="44">
        <v>0.77</v>
      </c>
      <c r="N9" s="45">
        <v>0.76319999999999999</v>
      </c>
      <c r="O9" s="39">
        <v>6.80000000000003E-3</v>
      </c>
      <c r="P9" s="44">
        <v>1.03</v>
      </c>
      <c r="Q9" s="45">
        <v>1.0069999999999999</v>
      </c>
      <c r="R9" s="39">
        <v>2.30000000000001E-2</v>
      </c>
      <c r="S9" s="44">
        <v>13.4775800415856</v>
      </c>
      <c r="T9" s="45">
        <v>13.407999999999999</v>
      </c>
      <c r="U9" s="39">
        <v>6.9580041585604505E-2</v>
      </c>
      <c r="V9" s="44">
        <v>2.94</v>
      </c>
      <c r="W9" s="45">
        <v>2.9944000000000002</v>
      </c>
      <c r="X9" s="39">
        <v>5.4400000000000198E-2</v>
      </c>
      <c r="Y9" s="44">
        <v>5.25</v>
      </c>
      <c r="Z9" s="45">
        <v>5.7496999999999998</v>
      </c>
      <c r="AA9" s="39">
        <v>0.49969999999999998</v>
      </c>
      <c r="AB9" s="40" t="s">
        <v>116</v>
      </c>
      <c r="AC9" s="41" t="s">
        <v>117</v>
      </c>
    </row>
    <row r="10" spans="1:29" ht="13.5" customHeight="1" x14ac:dyDescent="0.25">
      <c r="A10" s="46" t="s">
        <v>47</v>
      </c>
      <c r="B10" s="47" t="s">
        <v>24</v>
      </c>
      <c r="C10" s="47" t="s">
        <v>25</v>
      </c>
      <c r="D10" s="48">
        <v>1.44</v>
      </c>
      <c r="E10" s="49">
        <v>1.5303</v>
      </c>
      <c r="F10" s="39">
        <v>9.0300000000000102E-2</v>
      </c>
      <c r="G10" s="48">
        <v>3.25</v>
      </c>
      <c r="H10" s="49">
        <v>3.1945999999999999</v>
      </c>
      <c r="I10" s="39">
        <v>5.5400000000000102E-2</v>
      </c>
      <c r="J10" s="48">
        <v>1.42</v>
      </c>
      <c r="K10" s="49">
        <v>1.7215</v>
      </c>
      <c r="L10" s="39">
        <v>0.30149999999999999</v>
      </c>
      <c r="M10" s="48">
        <v>0.91</v>
      </c>
      <c r="N10" s="49">
        <v>0.97240000000000004</v>
      </c>
      <c r="O10" s="39">
        <v>6.2399999999999997E-2</v>
      </c>
      <c r="P10" s="48">
        <v>0.7</v>
      </c>
      <c r="Q10" s="49">
        <v>0.66879999999999995</v>
      </c>
      <c r="R10" s="39">
        <v>3.1199999999999999E-2</v>
      </c>
      <c r="S10" s="48">
        <v>16.368706471333098</v>
      </c>
      <c r="T10" s="49">
        <v>16.4557</v>
      </c>
      <c r="U10" s="39">
        <v>8.6993528666866396E-2</v>
      </c>
      <c r="V10" s="48">
        <v>4.28</v>
      </c>
      <c r="W10" s="49">
        <v>4.234</v>
      </c>
      <c r="X10" s="39">
        <v>4.6000000000000298E-2</v>
      </c>
      <c r="Y10" s="48">
        <v>5.41</v>
      </c>
      <c r="Z10" s="49">
        <v>4.9364999999999997</v>
      </c>
      <c r="AA10" s="39">
        <v>0.47350000000000098</v>
      </c>
      <c r="AB10" s="40" t="s">
        <v>116</v>
      </c>
      <c r="AC10" s="41" t="s">
        <v>117</v>
      </c>
    </row>
    <row r="11" spans="1:29" ht="13.5" customHeight="1" x14ac:dyDescent="0.25">
      <c r="A11" s="42" t="s">
        <v>49</v>
      </c>
      <c r="B11" s="43" t="s">
        <v>34</v>
      </c>
      <c r="C11" s="43" t="s">
        <v>38</v>
      </c>
      <c r="D11" s="44">
        <v>4.04</v>
      </c>
      <c r="E11" s="45">
        <v>4.2202999999999999</v>
      </c>
      <c r="F11" s="39">
        <v>0.18029999999999999</v>
      </c>
      <c r="G11" s="44">
        <v>3.13</v>
      </c>
      <c r="H11" s="45">
        <v>3.157</v>
      </c>
      <c r="I11" s="39">
        <v>2.70000000000001E-2</v>
      </c>
      <c r="J11" s="44">
        <v>0.93</v>
      </c>
      <c r="K11" s="45">
        <v>1.2441</v>
      </c>
      <c r="L11" s="39">
        <v>0.31409999999999999</v>
      </c>
      <c r="M11" s="44">
        <v>0.64</v>
      </c>
      <c r="N11" s="45">
        <v>0.6744</v>
      </c>
      <c r="O11" s="39">
        <v>3.44E-2</v>
      </c>
      <c r="P11" s="44">
        <v>1.04</v>
      </c>
      <c r="Q11" s="45">
        <v>1.0188999999999999</v>
      </c>
      <c r="R11" s="39">
        <v>2.1100000000000101E-2</v>
      </c>
      <c r="S11" s="44">
        <v>15.3829038329641</v>
      </c>
      <c r="T11" s="45">
        <v>15.700100000000001</v>
      </c>
      <c r="U11" s="39">
        <v>0.317196167035876</v>
      </c>
      <c r="V11" s="44">
        <v>2.44</v>
      </c>
      <c r="W11" s="45">
        <v>2.3950999999999998</v>
      </c>
      <c r="X11" s="39">
        <v>4.4900000000000197E-2</v>
      </c>
      <c r="Y11" s="44">
        <v>1.33</v>
      </c>
      <c r="Z11" s="45">
        <v>2.4117999999999999</v>
      </c>
      <c r="AA11" s="39">
        <v>1.0818000000000001</v>
      </c>
      <c r="AB11" s="40" t="s">
        <v>116</v>
      </c>
      <c r="AC11" s="41" t="s">
        <v>117</v>
      </c>
    </row>
    <row r="12" spans="1:29" ht="13.5" customHeight="1" x14ac:dyDescent="0.25">
      <c r="A12" s="35" t="s">
        <v>51</v>
      </c>
      <c r="B12" s="36" t="s">
        <v>24</v>
      </c>
      <c r="C12" s="36" t="s">
        <v>25</v>
      </c>
      <c r="D12" s="37">
        <v>0.9</v>
      </c>
      <c r="E12" s="38">
        <v>0.8508</v>
      </c>
      <c r="F12" s="39">
        <v>4.9200000000000001E-2</v>
      </c>
      <c r="G12" s="37">
        <v>2.0699999999999998</v>
      </c>
      <c r="H12" s="38">
        <v>2.2195</v>
      </c>
      <c r="I12" s="39">
        <v>0.14949999999999999</v>
      </c>
      <c r="J12" s="37">
        <v>2.37</v>
      </c>
      <c r="K12" s="38">
        <v>2.2513999999999998</v>
      </c>
      <c r="L12" s="39">
        <v>0.1186</v>
      </c>
      <c r="M12" s="37">
        <v>0.43</v>
      </c>
      <c r="N12" s="38">
        <v>0.44330000000000003</v>
      </c>
      <c r="O12" s="39">
        <v>1.3299999999999999E-2</v>
      </c>
      <c r="P12" s="37">
        <v>1.5</v>
      </c>
      <c r="Q12" s="38">
        <v>1.3283</v>
      </c>
      <c r="R12" s="39">
        <v>0.17169999999999999</v>
      </c>
      <c r="S12" s="37">
        <v>16.652346938687401</v>
      </c>
      <c r="T12" s="38">
        <v>16.556799999999999</v>
      </c>
      <c r="U12" s="39">
        <v>9.5546938687348898E-2</v>
      </c>
      <c r="V12" s="37">
        <v>2.88</v>
      </c>
      <c r="W12" s="38">
        <v>2.8576999999999999</v>
      </c>
      <c r="X12" s="39">
        <v>2.23E-2</v>
      </c>
      <c r="Y12" s="37">
        <v>4.6399999999999997</v>
      </c>
      <c r="Z12" s="38">
        <v>5.3173000000000004</v>
      </c>
      <c r="AA12" s="39">
        <v>0.67730000000000101</v>
      </c>
      <c r="AB12" s="40" t="s">
        <v>116</v>
      </c>
      <c r="AC12" s="41" t="s">
        <v>117</v>
      </c>
    </row>
    <row r="13" spans="1:29" ht="13.5" customHeight="1" x14ac:dyDescent="0.25">
      <c r="A13" s="42" t="s">
        <v>53</v>
      </c>
      <c r="B13" s="43" t="s">
        <v>24</v>
      </c>
      <c r="C13" s="43" t="s">
        <v>38</v>
      </c>
      <c r="D13" s="44">
        <v>2.41</v>
      </c>
      <c r="E13" s="45">
        <v>2.1775000000000002</v>
      </c>
      <c r="F13" s="39">
        <v>0.23250000000000001</v>
      </c>
      <c r="G13" s="44">
        <v>1.9</v>
      </c>
      <c r="H13" s="45">
        <v>1.8536999999999999</v>
      </c>
      <c r="I13" s="39">
        <v>4.6300000000000001E-2</v>
      </c>
      <c r="J13" s="44">
        <v>2.06</v>
      </c>
      <c r="K13" s="45">
        <v>2.3971</v>
      </c>
      <c r="L13" s="39">
        <v>0.33710000000000001</v>
      </c>
      <c r="M13" s="44">
        <v>0.55000000000000004</v>
      </c>
      <c r="N13" s="45">
        <v>0.45090000000000002</v>
      </c>
      <c r="O13" s="39">
        <v>9.9099999999999994E-2</v>
      </c>
      <c r="P13" s="44">
        <v>0.89</v>
      </c>
      <c r="Q13" s="45">
        <v>0.68020000000000003</v>
      </c>
      <c r="R13" s="39">
        <v>0.20979999999999999</v>
      </c>
      <c r="S13" s="44">
        <v>16.627521291769401</v>
      </c>
      <c r="T13" s="45">
        <v>16.4192</v>
      </c>
      <c r="U13" s="39">
        <v>0.20832129176935499</v>
      </c>
      <c r="V13" s="44">
        <v>4.18</v>
      </c>
      <c r="W13" s="45">
        <v>4.1292</v>
      </c>
      <c r="X13" s="39">
        <v>5.07999999999997E-2</v>
      </c>
      <c r="Y13" s="44">
        <v>5.61</v>
      </c>
      <c r="Z13" s="45">
        <v>4.5288000000000004</v>
      </c>
      <c r="AA13" s="39">
        <v>1.0811999999999999</v>
      </c>
      <c r="AB13" s="40" t="s">
        <v>116</v>
      </c>
      <c r="AC13" s="41" t="s">
        <v>117</v>
      </c>
    </row>
    <row r="14" spans="1:29" ht="13.5" customHeight="1" x14ac:dyDescent="0.25">
      <c r="A14" s="35" t="s">
        <v>55</v>
      </c>
      <c r="B14" s="36" t="s">
        <v>24</v>
      </c>
      <c r="C14" s="36" t="s">
        <v>25</v>
      </c>
      <c r="D14" s="37">
        <v>3.21</v>
      </c>
      <c r="E14" s="38">
        <v>3.3826000000000001</v>
      </c>
      <c r="F14" s="39">
        <v>0.1726</v>
      </c>
      <c r="G14" s="37">
        <v>4.1100000000000003</v>
      </c>
      <c r="H14" s="38">
        <v>4.2072000000000003</v>
      </c>
      <c r="I14" s="39">
        <v>9.7199999999999995E-2</v>
      </c>
      <c r="J14" s="37">
        <v>0.92</v>
      </c>
      <c r="K14" s="38">
        <v>1.4069</v>
      </c>
      <c r="L14" s="39">
        <v>0.4869</v>
      </c>
      <c r="M14" s="37">
        <v>0.34</v>
      </c>
      <c r="N14" s="38">
        <v>0.2374</v>
      </c>
      <c r="O14" s="39">
        <v>0.1026</v>
      </c>
      <c r="P14" s="37">
        <v>0.13</v>
      </c>
      <c r="Q14" s="38">
        <v>0.24160000000000001</v>
      </c>
      <c r="R14" s="39">
        <v>0.1116</v>
      </c>
      <c r="S14" s="37">
        <v>15.1882749011254</v>
      </c>
      <c r="T14" s="38">
        <v>15.4353</v>
      </c>
      <c r="U14" s="39">
        <v>0.24702509887464399</v>
      </c>
      <c r="V14" s="37">
        <v>3.7</v>
      </c>
      <c r="W14" s="38">
        <v>3.7197</v>
      </c>
      <c r="X14" s="39">
        <v>1.9699999999999801E-2</v>
      </c>
      <c r="Y14" s="37">
        <v>10.24</v>
      </c>
      <c r="Z14" s="38">
        <v>9.9588000000000001</v>
      </c>
      <c r="AA14" s="39">
        <v>0.28120000000000001</v>
      </c>
      <c r="AB14" s="40" t="s">
        <v>116</v>
      </c>
      <c r="AC14" s="41" t="s">
        <v>117</v>
      </c>
    </row>
    <row r="15" spans="1:29" ht="13.5" customHeight="1" x14ac:dyDescent="0.25">
      <c r="A15" s="42" t="s">
        <v>57</v>
      </c>
      <c r="B15" s="43" t="s">
        <v>24</v>
      </c>
      <c r="C15" s="43" t="s">
        <v>38</v>
      </c>
      <c r="D15" s="44">
        <v>2.25</v>
      </c>
      <c r="E15" s="45">
        <v>2.4575999999999998</v>
      </c>
      <c r="F15" s="39">
        <v>0.20760000000000001</v>
      </c>
      <c r="G15" s="44">
        <v>2.04</v>
      </c>
      <c r="H15" s="45">
        <v>1.8934</v>
      </c>
      <c r="I15" s="39">
        <v>0.14660000000000001</v>
      </c>
      <c r="J15" s="44">
        <v>2.02</v>
      </c>
      <c r="K15" s="45">
        <v>2.0979000000000001</v>
      </c>
      <c r="L15" s="39">
        <v>7.7900000000000094E-2</v>
      </c>
      <c r="M15" s="44">
        <v>0.16</v>
      </c>
      <c r="N15" s="45">
        <v>0.23880000000000001</v>
      </c>
      <c r="O15" s="39">
        <v>7.8799999999999995E-2</v>
      </c>
      <c r="P15" s="44">
        <v>1.68</v>
      </c>
      <c r="Q15" s="45">
        <v>1.4126000000000001</v>
      </c>
      <c r="R15" s="39">
        <v>0.26740000000000003</v>
      </c>
      <c r="S15" s="44">
        <v>13.1887463521635</v>
      </c>
      <c r="T15" s="45">
        <v>13.243600000000001</v>
      </c>
      <c r="U15" s="39">
        <v>5.4853647836511102E-2</v>
      </c>
      <c r="V15" s="44">
        <v>4.08</v>
      </c>
      <c r="W15" s="45">
        <v>4.0627000000000004</v>
      </c>
      <c r="X15" s="39">
        <v>1.7299999999999701E-2</v>
      </c>
      <c r="Y15" s="44">
        <v>9.56</v>
      </c>
      <c r="Z15" s="45">
        <v>10.507300000000001</v>
      </c>
      <c r="AA15" s="39">
        <v>0.94730000000000003</v>
      </c>
      <c r="AB15" s="40" t="s">
        <v>116</v>
      </c>
      <c r="AC15" s="41" t="s">
        <v>117</v>
      </c>
    </row>
    <row r="16" spans="1:29" ht="13.5" customHeight="1" x14ac:dyDescent="0.25">
      <c r="A16" s="46" t="s">
        <v>59</v>
      </c>
      <c r="B16" s="47" t="s">
        <v>34</v>
      </c>
      <c r="C16" s="47" t="s">
        <v>25</v>
      </c>
      <c r="D16" s="48">
        <v>4.79</v>
      </c>
      <c r="E16" s="49">
        <v>4.6547999999999998</v>
      </c>
      <c r="F16" s="39">
        <v>0.13519999999999999</v>
      </c>
      <c r="G16" s="48">
        <v>4.91</v>
      </c>
      <c r="H16" s="49">
        <v>4.9280999999999997</v>
      </c>
      <c r="I16" s="39">
        <v>1.8099999999999599E-2</v>
      </c>
      <c r="J16" s="48">
        <v>1.1599999999999999</v>
      </c>
      <c r="K16" s="49">
        <v>1.5524</v>
      </c>
      <c r="L16" s="39">
        <v>0.39240000000000003</v>
      </c>
      <c r="M16" s="48">
        <v>0.77</v>
      </c>
      <c r="N16" s="49">
        <v>0.72799999999999998</v>
      </c>
      <c r="O16" s="39">
        <v>4.2000000000000003E-2</v>
      </c>
      <c r="P16" s="48">
        <v>0.57999999999999996</v>
      </c>
      <c r="Q16" s="49">
        <v>0.82099999999999995</v>
      </c>
      <c r="R16" s="39">
        <v>0.24099999999999999</v>
      </c>
      <c r="S16" s="48">
        <v>15.1907798549273</v>
      </c>
      <c r="T16" s="49">
        <v>14.6883</v>
      </c>
      <c r="U16" s="39">
        <v>0.50247985492729297</v>
      </c>
      <c r="V16" s="48">
        <v>3.65</v>
      </c>
      <c r="W16" s="49">
        <v>3.6297999999999999</v>
      </c>
      <c r="X16" s="39">
        <v>2.0199999999999999E-2</v>
      </c>
      <c r="Y16" s="48">
        <v>9.84</v>
      </c>
      <c r="Z16" s="49">
        <v>10.7127</v>
      </c>
      <c r="AA16" s="39">
        <v>0.87270000000000003</v>
      </c>
      <c r="AB16" s="40" t="s">
        <v>116</v>
      </c>
      <c r="AC16" s="41" t="s">
        <v>117</v>
      </c>
    </row>
    <row r="17" spans="1:29" ht="13.5" customHeight="1" x14ac:dyDescent="0.25">
      <c r="A17" s="42" t="s">
        <v>61</v>
      </c>
      <c r="B17" s="43" t="s">
        <v>24</v>
      </c>
      <c r="C17" s="43" t="s">
        <v>25</v>
      </c>
      <c r="D17" s="44">
        <v>1.51</v>
      </c>
      <c r="E17" s="45">
        <v>1.2843</v>
      </c>
      <c r="F17" s="39">
        <v>0.22570000000000001</v>
      </c>
      <c r="G17" s="44">
        <v>4.38</v>
      </c>
      <c r="H17" s="45">
        <v>4.3719999999999999</v>
      </c>
      <c r="I17" s="39">
        <v>8.0000000000000106E-3</v>
      </c>
      <c r="J17" s="44">
        <v>0.75</v>
      </c>
      <c r="K17" s="45">
        <v>0.32</v>
      </c>
      <c r="L17" s="39">
        <v>0.43</v>
      </c>
      <c r="M17" s="44">
        <v>0.47</v>
      </c>
      <c r="N17" s="45">
        <v>0.56869999999999998</v>
      </c>
      <c r="O17" s="39">
        <v>9.8699999999999996E-2</v>
      </c>
      <c r="P17" s="44">
        <v>1.23</v>
      </c>
      <c r="Q17" s="45">
        <v>1.2603</v>
      </c>
      <c r="R17" s="39">
        <v>3.0300000000000001E-2</v>
      </c>
      <c r="S17" s="44">
        <v>15.6576108729988</v>
      </c>
      <c r="T17" s="45">
        <v>15.1228</v>
      </c>
      <c r="U17" s="39">
        <v>0.53481087299882002</v>
      </c>
      <c r="V17" s="44">
        <v>3.26</v>
      </c>
      <c r="W17" s="45">
        <v>3.2139000000000002</v>
      </c>
      <c r="X17" s="39">
        <v>4.60999999999996E-2</v>
      </c>
      <c r="Y17" s="44">
        <v>10.67</v>
      </c>
      <c r="Z17" s="45">
        <v>10.327</v>
      </c>
      <c r="AA17" s="39">
        <v>0.34300000000000003</v>
      </c>
      <c r="AB17" s="40" t="s">
        <v>116</v>
      </c>
      <c r="AC17" s="41" t="s">
        <v>117</v>
      </c>
    </row>
    <row r="18" spans="1:29" ht="13.5" customHeight="1" x14ac:dyDescent="0.25">
      <c r="A18" s="46" t="s">
        <v>63</v>
      </c>
      <c r="B18" s="47" t="s">
        <v>34</v>
      </c>
      <c r="C18" s="47" t="s">
        <v>25</v>
      </c>
      <c r="D18" s="48">
        <v>3.5</v>
      </c>
      <c r="E18" s="49">
        <v>3.7494999999999998</v>
      </c>
      <c r="F18" s="39">
        <v>0.2495</v>
      </c>
      <c r="G18" s="48">
        <v>3.47</v>
      </c>
      <c r="H18" s="49">
        <v>3.5305</v>
      </c>
      <c r="I18" s="39">
        <v>6.0499999999999797E-2</v>
      </c>
      <c r="J18" s="48">
        <v>0.15</v>
      </c>
      <c r="K18" s="49">
        <v>0.18959999999999999</v>
      </c>
      <c r="L18" s="39">
        <v>3.9600000000000003E-2</v>
      </c>
      <c r="M18" s="48">
        <v>0.42</v>
      </c>
      <c r="N18" s="49">
        <v>0.51680000000000004</v>
      </c>
      <c r="O18" s="39">
        <v>9.6800000000000094E-2</v>
      </c>
      <c r="P18" s="48">
        <v>0</v>
      </c>
      <c r="Q18" s="49">
        <v>0.1071</v>
      </c>
      <c r="R18" s="39">
        <v>0.1071</v>
      </c>
      <c r="S18" s="48">
        <v>12.1616605935439</v>
      </c>
      <c r="T18" s="49">
        <v>12.400700000000001</v>
      </c>
      <c r="U18" s="39">
        <v>0.23903940645612901</v>
      </c>
      <c r="V18" s="48">
        <v>4.18</v>
      </c>
      <c r="W18" s="49">
        <v>4.1900000000000004</v>
      </c>
      <c r="X18" s="39">
        <v>1.0000000000000699E-2</v>
      </c>
      <c r="Y18" s="48">
        <v>4.03</v>
      </c>
      <c r="Z18" s="49">
        <v>3.496</v>
      </c>
      <c r="AA18" s="39">
        <v>0.53400000000000003</v>
      </c>
      <c r="AB18" s="40" t="s">
        <v>116</v>
      </c>
      <c r="AC18" s="41" t="s">
        <v>117</v>
      </c>
    </row>
    <row r="19" spans="1:29" ht="13.5" customHeight="1" x14ac:dyDescent="0.25">
      <c r="A19" s="42" t="s">
        <v>66</v>
      </c>
      <c r="B19" s="43" t="s">
        <v>34</v>
      </c>
      <c r="C19" s="43" t="s">
        <v>25</v>
      </c>
      <c r="D19" s="44">
        <v>3.54</v>
      </c>
      <c r="E19" s="45">
        <v>3.4750000000000001</v>
      </c>
      <c r="F19" s="39">
        <v>6.5000000000000002E-2</v>
      </c>
      <c r="G19" s="44">
        <v>3.44</v>
      </c>
      <c r="H19" s="45">
        <v>3.4592000000000001</v>
      </c>
      <c r="I19" s="39">
        <v>1.9200000000000099E-2</v>
      </c>
      <c r="J19" s="44">
        <v>1.9</v>
      </c>
      <c r="K19" s="45">
        <v>1.9774</v>
      </c>
      <c r="L19" s="39">
        <v>7.7400000000000094E-2</v>
      </c>
      <c r="M19" s="44">
        <v>0.71</v>
      </c>
      <c r="N19" s="45">
        <v>0.70920000000000005</v>
      </c>
      <c r="O19" s="39">
        <v>7.99999999999912E-4</v>
      </c>
      <c r="P19" s="44">
        <v>1.71</v>
      </c>
      <c r="Q19" s="45">
        <v>1.9715</v>
      </c>
      <c r="R19" s="39">
        <v>0.26150000000000001</v>
      </c>
      <c r="S19" s="44">
        <v>13.0058228323216</v>
      </c>
      <c r="T19" s="45">
        <v>13.3698</v>
      </c>
      <c r="U19" s="39">
        <v>0.36397716767841198</v>
      </c>
      <c r="V19" s="44">
        <v>1.7</v>
      </c>
      <c r="W19" s="45">
        <v>1.7018</v>
      </c>
      <c r="X19" s="39">
        <v>1.8000000000000199E-3</v>
      </c>
      <c r="Y19" s="44">
        <v>3.36</v>
      </c>
      <c r="Z19" s="45">
        <v>2.6122000000000001</v>
      </c>
      <c r="AA19" s="39">
        <v>0.74780000000000002</v>
      </c>
      <c r="AB19" s="40" t="s">
        <v>116</v>
      </c>
      <c r="AC19" s="41" t="s">
        <v>117</v>
      </c>
    </row>
    <row r="20" spans="1:29" ht="13.5" customHeight="1" x14ac:dyDescent="0.25">
      <c r="A20" s="46" t="s">
        <v>68</v>
      </c>
      <c r="B20" s="47" t="s">
        <v>34</v>
      </c>
      <c r="C20" s="47" t="s">
        <v>38</v>
      </c>
      <c r="D20" s="48">
        <v>5.34</v>
      </c>
      <c r="E20" s="49">
        <v>5.0884</v>
      </c>
      <c r="F20" s="39">
        <v>0.25159999999999999</v>
      </c>
      <c r="G20" s="48">
        <v>2.71</v>
      </c>
      <c r="H20" s="49">
        <v>2.8395999999999999</v>
      </c>
      <c r="I20" s="39">
        <v>0.12959999999999999</v>
      </c>
      <c r="J20" s="48">
        <v>2.27</v>
      </c>
      <c r="K20" s="49">
        <v>2.3601000000000001</v>
      </c>
      <c r="L20" s="39">
        <v>9.0100000000000097E-2</v>
      </c>
      <c r="M20" s="48">
        <v>0</v>
      </c>
      <c r="N20" s="49">
        <v>6.9800000000000001E-2</v>
      </c>
      <c r="O20" s="39">
        <v>6.9800000000000001E-2</v>
      </c>
      <c r="P20" s="48">
        <v>0.7</v>
      </c>
      <c r="Q20" s="49">
        <v>0.67659999999999998</v>
      </c>
      <c r="R20" s="39">
        <v>2.3400000000000001E-2</v>
      </c>
      <c r="S20" s="48">
        <v>15.253489313758701</v>
      </c>
      <c r="T20" s="49">
        <v>14.7897</v>
      </c>
      <c r="U20" s="39">
        <v>0.46378931375869897</v>
      </c>
      <c r="V20" s="48">
        <v>4.03</v>
      </c>
      <c r="W20" s="49">
        <v>4.0396000000000001</v>
      </c>
      <c r="X20" s="39">
        <v>9.5999999999998292E-3</v>
      </c>
      <c r="Y20" s="48">
        <v>0.72</v>
      </c>
      <c r="Z20" s="49">
        <v>0.1709</v>
      </c>
      <c r="AA20" s="39">
        <v>0.54910000000000003</v>
      </c>
      <c r="AB20" s="40" t="s">
        <v>116</v>
      </c>
      <c r="AC20" s="41" t="s">
        <v>117</v>
      </c>
    </row>
    <row r="21" spans="1:29" ht="13.5" customHeight="1" x14ac:dyDescent="0.25">
      <c r="A21" s="42" t="s">
        <v>70</v>
      </c>
      <c r="B21" s="43" t="s">
        <v>34</v>
      </c>
      <c r="C21" s="43" t="s">
        <v>25</v>
      </c>
      <c r="D21" s="44">
        <v>3.28</v>
      </c>
      <c r="E21" s="45">
        <v>3.4340000000000002</v>
      </c>
      <c r="F21" s="39">
        <v>0.154</v>
      </c>
      <c r="G21" s="44">
        <v>4.1100000000000003</v>
      </c>
      <c r="H21" s="45">
        <v>4.1437999999999997</v>
      </c>
      <c r="I21" s="39">
        <v>3.37999999999994E-2</v>
      </c>
      <c r="J21" s="44">
        <v>0</v>
      </c>
      <c r="K21" s="40">
        <v>0</v>
      </c>
      <c r="L21" s="39">
        <v>0</v>
      </c>
      <c r="M21" s="44">
        <v>0.68</v>
      </c>
      <c r="N21" s="45">
        <v>0.60319999999999996</v>
      </c>
      <c r="O21" s="39">
        <v>7.6800000000000104E-2</v>
      </c>
      <c r="P21" s="44">
        <v>1.01</v>
      </c>
      <c r="Q21" s="45">
        <v>0.79069999999999996</v>
      </c>
      <c r="R21" s="39">
        <v>0.21929999999999999</v>
      </c>
      <c r="S21" s="44">
        <v>11.493009413483</v>
      </c>
      <c r="T21" s="45">
        <v>11.9703</v>
      </c>
      <c r="U21" s="39">
        <v>0.477290586517015</v>
      </c>
      <c r="V21" s="44">
        <v>2.41</v>
      </c>
      <c r="W21" s="45">
        <v>2.3969999999999998</v>
      </c>
      <c r="X21" s="39">
        <v>1.30000000000003E-2</v>
      </c>
      <c r="Y21" s="44">
        <v>4.3600000000000003</v>
      </c>
      <c r="Z21" s="45">
        <v>5.2446000000000002</v>
      </c>
      <c r="AA21" s="39">
        <v>0.88460000000000005</v>
      </c>
      <c r="AB21" s="40" t="s">
        <v>116</v>
      </c>
      <c r="AC21" s="41" t="s">
        <v>117</v>
      </c>
    </row>
    <row r="22" spans="1:29" ht="13.5" customHeight="1" x14ac:dyDescent="0.25">
      <c r="A22" s="46" t="s">
        <v>72</v>
      </c>
      <c r="B22" s="47" t="s">
        <v>24</v>
      </c>
      <c r="C22" s="47" t="s">
        <v>38</v>
      </c>
      <c r="D22" s="48">
        <v>3.3</v>
      </c>
      <c r="E22" s="49">
        <v>3.2904</v>
      </c>
      <c r="F22" s="39">
        <v>9.5999999999998292E-3</v>
      </c>
      <c r="G22" s="48">
        <v>2.11</v>
      </c>
      <c r="H22" s="49">
        <v>2.1488999999999998</v>
      </c>
      <c r="I22" s="39">
        <v>3.88999999999999E-2</v>
      </c>
      <c r="J22" s="48">
        <v>1.64</v>
      </c>
      <c r="K22" s="49">
        <v>1.823</v>
      </c>
      <c r="L22" s="39">
        <v>0.183</v>
      </c>
      <c r="M22" s="48">
        <v>0.89</v>
      </c>
      <c r="N22" s="49">
        <v>0.99029999999999996</v>
      </c>
      <c r="O22" s="39">
        <v>0.1003</v>
      </c>
      <c r="P22" s="48">
        <v>0.95</v>
      </c>
      <c r="Q22" s="49">
        <v>1.2229000000000001</v>
      </c>
      <c r="R22" s="39">
        <v>0.27289999999999998</v>
      </c>
      <c r="S22" s="48">
        <v>15.4808472639915</v>
      </c>
      <c r="T22" s="49">
        <v>15.708</v>
      </c>
      <c r="U22" s="39">
        <v>0.227152736008534</v>
      </c>
      <c r="V22" s="48">
        <v>2.64</v>
      </c>
      <c r="W22" s="49">
        <v>2.6983999999999999</v>
      </c>
      <c r="X22" s="39">
        <v>5.8399999999999799E-2</v>
      </c>
      <c r="Y22" s="48">
        <v>8.01</v>
      </c>
      <c r="Z22" s="49">
        <v>7.8338999999999999</v>
      </c>
      <c r="AA22" s="39">
        <v>0.17610000000000001</v>
      </c>
      <c r="AB22" s="40" t="s">
        <v>116</v>
      </c>
      <c r="AC22" s="41" t="s">
        <v>117</v>
      </c>
    </row>
    <row r="23" spans="1:29" ht="13.5" customHeight="1" x14ac:dyDescent="0.25">
      <c r="A23" s="42" t="s">
        <v>74</v>
      </c>
      <c r="B23" s="43" t="s">
        <v>24</v>
      </c>
      <c r="C23" s="43" t="s">
        <v>38</v>
      </c>
      <c r="D23" s="44">
        <v>4.6500000000000004</v>
      </c>
      <c r="E23" s="45">
        <v>4.8841000000000001</v>
      </c>
      <c r="F23" s="39">
        <v>0.2341</v>
      </c>
      <c r="G23" s="44">
        <v>2.67</v>
      </c>
      <c r="H23" s="45">
        <v>2.7477</v>
      </c>
      <c r="I23" s="39">
        <v>7.7700000000000102E-2</v>
      </c>
      <c r="J23" s="44">
        <v>1.33</v>
      </c>
      <c r="K23" s="45">
        <v>0.89900000000000002</v>
      </c>
      <c r="L23" s="39">
        <v>0.43099999999999999</v>
      </c>
      <c r="M23" s="44">
        <v>0.27</v>
      </c>
      <c r="N23" s="45">
        <v>0.32090000000000002</v>
      </c>
      <c r="O23" s="39">
        <v>5.0900000000000001E-2</v>
      </c>
      <c r="P23" s="44">
        <v>1.07</v>
      </c>
      <c r="Q23" s="45">
        <v>0.93830000000000002</v>
      </c>
      <c r="R23" s="39">
        <v>0.13170000000000001</v>
      </c>
      <c r="S23" s="44">
        <v>10.4406677858791</v>
      </c>
      <c r="T23" s="45">
        <v>10.468999999999999</v>
      </c>
      <c r="U23" s="39">
        <v>2.8332214120945699E-2</v>
      </c>
      <c r="V23" s="44">
        <v>3.06</v>
      </c>
      <c r="W23" s="45">
        <v>2.9971999999999999</v>
      </c>
      <c r="X23" s="39">
        <v>6.2800000000000203E-2</v>
      </c>
      <c r="Y23" s="44">
        <v>2.15</v>
      </c>
      <c r="Z23" s="45">
        <v>3.1579999999999999</v>
      </c>
      <c r="AA23" s="39">
        <v>1.008</v>
      </c>
      <c r="AB23" s="40" t="s">
        <v>116</v>
      </c>
      <c r="AC23" s="41" t="s">
        <v>117</v>
      </c>
    </row>
    <row r="24" spans="1:29" ht="13.5" customHeight="1" x14ac:dyDescent="0.25">
      <c r="A24" s="46" t="s">
        <v>76</v>
      </c>
      <c r="B24" s="47" t="s">
        <v>24</v>
      </c>
      <c r="C24" s="47" t="s">
        <v>25</v>
      </c>
      <c r="D24" s="48">
        <v>1.58</v>
      </c>
      <c r="E24" s="49">
        <v>1.7998000000000001</v>
      </c>
      <c r="F24" s="39">
        <v>0.2198</v>
      </c>
      <c r="G24" s="48">
        <v>3.03</v>
      </c>
      <c r="H24" s="49">
        <v>3.0032999999999999</v>
      </c>
      <c r="I24" s="39">
        <v>2.6700000000000002E-2</v>
      </c>
      <c r="J24" s="48">
        <v>0.88</v>
      </c>
      <c r="K24" s="49">
        <v>1.2858000000000001</v>
      </c>
      <c r="L24" s="39">
        <v>0.40579999999999999</v>
      </c>
      <c r="M24" s="48">
        <v>0.56999999999999995</v>
      </c>
      <c r="N24" s="49">
        <v>0.60189999999999999</v>
      </c>
      <c r="O24" s="39">
        <v>3.1899999999999998E-2</v>
      </c>
      <c r="P24" s="48">
        <v>1.54</v>
      </c>
      <c r="Q24" s="49">
        <v>1.3185</v>
      </c>
      <c r="R24" s="39">
        <v>0.2215</v>
      </c>
      <c r="S24" s="48">
        <v>10.7713475474582</v>
      </c>
      <c r="T24" s="49">
        <v>10.657999999999999</v>
      </c>
      <c r="U24" s="39">
        <v>0.11334754745815601</v>
      </c>
      <c r="V24" s="48">
        <v>3.54</v>
      </c>
      <c r="W24" s="49">
        <v>3.5710999999999999</v>
      </c>
      <c r="X24" s="39">
        <v>3.1099999999999899E-2</v>
      </c>
      <c r="Y24" s="48">
        <v>8.73</v>
      </c>
      <c r="Z24" s="49">
        <v>9.0921000000000003</v>
      </c>
      <c r="AA24" s="39">
        <v>0.36209999999999998</v>
      </c>
      <c r="AB24" s="40" t="s">
        <v>116</v>
      </c>
      <c r="AC24" s="41" t="s">
        <v>117</v>
      </c>
    </row>
    <row r="25" spans="1:29" ht="13.5" customHeight="1" x14ac:dyDescent="0.25">
      <c r="A25" s="42" t="s">
        <v>78</v>
      </c>
      <c r="B25" s="43" t="s">
        <v>24</v>
      </c>
      <c r="C25" s="43" t="s">
        <v>38</v>
      </c>
      <c r="D25" s="44">
        <v>4.3499999999999996</v>
      </c>
      <c r="E25" s="45">
        <v>4.3810000000000002</v>
      </c>
      <c r="F25" s="39">
        <v>3.10000000000006E-2</v>
      </c>
      <c r="G25" s="44">
        <v>2.97</v>
      </c>
      <c r="H25" s="45">
        <v>3.0156999999999998</v>
      </c>
      <c r="I25" s="39">
        <v>4.5699999999999602E-2</v>
      </c>
      <c r="J25" s="44">
        <v>1.99</v>
      </c>
      <c r="K25" s="45">
        <v>1.8875999999999999</v>
      </c>
      <c r="L25" s="39">
        <v>0.1024</v>
      </c>
      <c r="M25" s="44">
        <v>0.56000000000000005</v>
      </c>
      <c r="N25" s="45">
        <v>0.49359999999999998</v>
      </c>
      <c r="O25" s="39">
        <v>6.6400000000000098E-2</v>
      </c>
      <c r="P25" s="44">
        <v>1.56</v>
      </c>
      <c r="Q25" s="45">
        <v>1.3524</v>
      </c>
      <c r="R25" s="39">
        <v>0.20760000000000001</v>
      </c>
      <c r="S25" s="44">
        <v>12.9081431954921</v>
      </c>
      <c r="T25" s="45">
        <v>12.548299999999999</v>
      </c>
      <c r="U25" s="39">
        <v>0.35984319549213101</v>
      </c>
      <c r="V25" s="44">
        <v>3.02</v>
      </c>
      <c r="W25" s="45">
        <v>3.0777000000000001</v>
      </c>
      <c r="X25" s="39">
        <v>5.7700000000000098E-2</v>
      </c>
      <c r="Y25" s="44">
        <v>9.1300000000000008</v>
      </c>
      <c r="Z25" s="45">
        <v>9.0604999999999993</v>
      </c>
      <c r="AA25" s="39">
        <v>6.9500000000001505E-2</v>
      </c>
      <c r="AB25" s="40" t="s">
        <v>116</v>
      </c>
      <c r="AC25" s="41" t="s">
        <v>117</v>
      </c>
    </row>
    <row r="26" spans="1:29" ht="13.5" customHeight="1" x14ac:dyDescent="0.25">
      <c r="A26" s="46" t="s">
        <v>80</v>
      </c>
      <c r="B26" s="47" t="s">
        <v>24</v>
      </c>
      <c r="C26" s="47" t="s">
        <v>38</v>
      </c>
      <c r="D26" s="48">
        <v>3.16</v>
      </c>
      <c r="E26" s="49">
        <v>3.2336</v>
      </c>
      <c r="F26" s="39">
        <v>7.3599999999999902E-2</v>
      </c>
      <c r="G26" s="48">
        <v>-0.28000000000000003</v>
      </c>
      <c r="H26" s="40">
        <v>0</v>
      </c>
      <c r="I26" s="39">
        <v>0.28000000000000003</v>
      </c>
      <c r="J26" s="48">
        <v>0.64</v>
      </c>
      <c r="K26" s="49">
        <v>0.54820000000000002</v>
      </c>
      <c r="L26" s="39">
        <v>9.1800000000000007E-2</v>
      </c>
      <c r="M26" s="48">
        <v>7.0000000000000007E-2</v>
      </c>
      <c r="N26" s="49">
        <v>4.9099999999999998E-2</v>
      </c>
      <c r="O26" s="39">
        <v>2.0899999999999998E-2</v>
      </c>
      <c r="P26" s="48">
        <v>1.37</v>
      </c>
      <c r="Q26" s="49">
        <v>1.5444</v>
      </c>
      <c r="R26" s="39">
        <v>0.1744</v>
      </c>
      <c r="S26" s="48">
        <v>20.0698834038195</v>
      </c>
      <c r="T26" s="49">
        <v>20.400400000000001</v>
      </c>
      <c r="U26" s="39">
        <v>0.33051659618045898</v>
      </c>
      <c r="V26" s="48">
        <v>2.2200000000000002</v>
      </c>
      <c r="W26" s="49">
        <v>2.1556999999999999</v>
      </c>
      <c r="X26" s="39">
        <v>6.4300000000000301E-2</v>
      </c>
      <c r="Y26" s="48">
        <v>9.68</v>
      </c>
      <c r="Z26" s="49">
        <v>10.5212</v>
      </c>
      <c r="AA26" s="39">
        <v>0.84120000000000095</v>
      </c>
      <c r="AB26" s="40" t="s">
        <v>116</v>
      </c>
      <c r="AC26" s="41" t="s">
        <v>117</v>
      </c>
    </row>
    <row r="27" spans="1:29" ht="13.5" customHeight="1" x14ac:dyDescent="0.25">
      <c r="A27" s="42" t="s">
        <v>82</v>
      </c>
      <c r="B27" s="43" t="s">
        <v>34</v>
      </c>
      <c r="C27" s="43" t="s">
        <v>38</v>
      </c>
      <c r="D27" s="44">
        <v>5.39</v>
      </c>
      <c r="E27" s="45">
        <v>5.2739000000000003</v>
      </c>
      <c r="F27" s="39">
        <v>0.116099999999999</v>
      </c>
      <c r="G27" s="44">
        <v>3.26</v>
      </c>
      <c r="H27" s="45">
        <v>3.2663000000000002</v>
      </c>
      <c r="I27" s="39">
        <v>6.3000000000004198E-3</v>
      </c>
      <c r="J27" s="44">
        <v>1.62</v>
      </c>
      <c r="K27" s="45">
        <v>1.8792</v>
      </c>
      <c r="L27" s="39">
        <v>0.25919999999999999</v>
      </c>
      <c r="M27" s="44">
        <v>0.63</v>
      </c>
      <c r="N27" s="45">
        <v>0.67079999999999995</v>
      </c>
      <c r="O27" s="39">
        <v>4.0800000000000003E-2</v>
      </c>
      <c r="P27" s="44">
        <v>1.52</v>
      </c>
      <c r="Q27" s="45">
        <v>1.7082999999999999</v>
      </c>
      <c r="R27" s="39">
        <v>0.1883</v>
      </c>
      <c r="S27" s="44">
        <v>7.14705908973768</v>
      </c>
      <c r="T27" s="45">
        <v>7.4161000000000001</v>
      </c>
      <c r="U27" s="39">
        <v>0.26904091026231602</v>
      </c>
      <c r="V27" s="44">
        <v>4.33</v>
      </c>
      <c r="W27" s="45">
        <v>4.3018000000000001</v>
      </c>
      <c r="X27" s="39">
        <v>2.8199999999999999E-2</v>
      </c>
      <c r="Y27" s="44">
        <v>9.67</v>
      </c>
      <c r="Z27" s="45">
        <v>10.5829</v>
      </c>
      <c r="AA27" s="39">
        <v>0.91290000000000104</v>
      </c>
      <c r="AB27" s="40" t="s">
        <v>116</v>
      </c>
      <c r="AC27" s="41" t="s">
        <v>117</v>
      </c>
    </row>
    <row r="28" spans="1:29" ht="13.5" customHeight="1" x14ac:dyDescent="0.25">
      <c r="A28" s="46" t="s">
        <v>84</v>
      </c>
      <c r="B28" s="47" t="s">
        <v>34</v>
      </c>
      <c r="C28" s="47" t="s">
        <v>38</v>
      </c>
      <c r="D28" s="48">
        <v>4.82</v>
      </c>
      <c r="E28" s="49">
        <v>4.8326000000000002</v>
      </c>
      <c r="F28" s="39">
        <v>1.2599999999999899E-2</v>
      </c>
      <c r="G28" s="48">
        <v>4.17</v>
      </c>
      <c r="H28" s="49">
        <v>4.0407999999999999</v>
      </c>
      <c r="I28" s="39">
        <v>0.12920000000000001</v>
      </c>
      <c r="J28" s="48">
        <v>1.82</v>
      </c>
      <c r="K28" s="49">
        <v>1.9094</v>
      </c>
      <c r="L28" s="39">
        <v>8.9399999999999896E-2</v>
      </c>
      <c r="M28" s="48">
        <v>0.48</v>
      </c>
      <c r="N28" s="49">
        <v>0.4607</v>
      </c>
      <c r="O28" s="39">
        <v>1.9300000000000001E-2</v>
      </c>
      <c r="P28" s="48">
        <v>1.1299999999999999</v>
      </c>
      <c r="Q28" s="49">
        <v>1.0931999999999999</v>
      </c>
      <c r="R28" s="39">
        <v>3.6799999999999902E-2</v>
      </c>
      <c r="S28" s="48">
        <v>13.951765484853</v>
      </c>
      <c r="T28" s="49">
        <v>14.0602</v>
      </c>
      <c r="U28" s="39">
        <v>0.10843451514696099</v>
      </c>
      <c r="V28" s="48">
        <v>2.75</v>
      </c>
      <c r="W28" s="49">
        <v>2.6873999999999998</v>
      </c>
      <c r="X28" s="39">
        <v>6.2600000000000197E-2</v>
      </c>
      <c r="Y28" s="48">
        <v>5.98</v>
      </c>
      <c r="Z28" s="49">
        <v>5.6454000000000004</v>
      </c>
      <c r="AA28" s="39">
        <v>0.33460000000000001</v>
      </c>
      <c r="AB28" s="40" t="s">
        <v>116</v>
      </c>
      <c r="AC28" s="41" t="s">
        <v>117</v>
      </c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zoomScaleNormal="100" workbookViewId="0">
      <pane ySplit="4" topLeftCell="A15" activePane="bottomLeft" state="frozen"/>
      <selection pane="bottomLeft" activeCell="A2" sqref="A2:I2"/>
    </sheetView>
  </sheetViews>
  <sheetFormatPr baseColWidth="10" defaultColWidth="8.7109375" defaultRowHeight="15" x14ac:dyDescent="0.25"/>
  <cols>
    <col min="1" max="1" width="22" customWidth="1"/>
    <col min="2" max="2" width="8" customWidth="1"/>
    <col min="3" max="6" width="10" customWidth="1"/>
    <col min="7" max="7" width="11" customWidth="1"/>
    <col min="8" max="9" width="10" customWidth="1"/>
  </cols>
  <sheetData>
    <row r="1" spans="1:9" ht="25.5" customHeight="1" x14ac:dyDescent="0.25">
      <c r="A1" s="3" t="s">
        <v>167</v>
      </c>
      <c r="B1" s="3"/>
      <c r="C1" s="3"/>
      <c r="D1" s="3"/>
      <c r="E1" s="3"/>
      <c r="F1" s="3"/>
      <c r="G1" s="3"/>
      <c r="H1" s="3"/>
      <c r="I1" s="3"/>
    </row>
    <row r="2" spans="1:9" ht="13.5" customHeight="1" x14ac:dyDescent="0.25">
      <c r="A2" s="2" t="s">
        <v>165</v>
      </c>
      <c r="B2" s="2"/>
      <c r="C2" s="2"/>
      <c r="D2" s="2"/>
      <c r="E2" s="2"/>
      <c r="F2" s="2"/>
      <c r="G2" s="2"/>
      <c r="H2" s="2"/>
      <c r="I2" s="2"/>
    </row>
    <row r="3" spans="1:9" ht="6" customHeight="1" x14ac:dyDescent="0.25"/>
    <row r="4" spans="1:9" ht="19.5" customHeight="1" x14ac:dyDescent="0.25">
      <c r="A4" s="50" t="s">
        <v>118</v>
      </c>
      <c r="B4" s="50" t="s">
        <v>119</v>
      </c>
      <c r="C4" s="50" t="s">
        <v>120</v>
      </c>
      <c r="D4" s="50" t="s">
        <v>121</v>
      </c>
      <c r="E4" s="50" t="s">
        <v>122</v>
      </c>
      <c r="F4" s="50" t="s">
        <v>123</v>
      </c>
      <c r="G4" s="50" t="s">
        <v>124</v>
      </c>
      <c r="H4" s="50" t="s">
        <v>125</v>
      </c>
      <c r="I4" s="50" t="s">
        <v>126</v>
      </c>
    </row>
    <row r="5" spans="1:9" ht="15" customHeight="1" x14ac:dyDescent="0.25">
      <c r="A5" s="24" t="s">
        <v>127</v>
      </c>
      <c r="B5" s="27" t="s">
        <v>128</v>
      </c>
      <c r="C5" s="51">
        <v>-1.8</v>
      </c>
      <c r="D5" s="51">
        <v>16.52</v>
      </c>
      <c r="E5" s="52">
        <v>3.5367999999999999</v>
      </c>
      <c r="F5" s="52">
        <v>3.52</v>
      </c>
      <c r="G5" s="52">
        <v>1.2705</v>
      </c>
      <c r="H5" s="52">
        <v>1.97</v>
      </c>
      <c r="I5" s="52">
        <v>5.09</v>
      </c>
    </row>
    <row r="6" spans="1:9" ht="15" customHeight="1" x14ac:dyDescent="0.25">
      <c r="A6" s="19" t="s">
        <v>129</v>
      </c>
      <c r="B6" s="22" t="s">
        <v>128</v>
      </c>
      <c r="C6" s="53">
        <v>-1.68</v>
      </c>
      <c r="D6" s="53">
        <v>7.42</v>
      </c>
      <c r="E6" s="54">
        <v>2.7763</v>
      </c>
      <c r="F6" s="54">
        <v>2.78</v>
      </c>
      <c r="G6" s="54">
        <v>1.0170999999999999</v>
      </c>
      <c r="H6" s="54">
        <v>1.47</v>
      </c>
      <c r="I6" s="54">
        <v>4.08</v>
      </c>
    </row>
    <row r="7" spans="1:9" ht="15" customHeight="1" x14ac:dyDescent="0.25">
      <c r="A7" s="24" t="s">
        <v>130</v>
      </c>
      <c r="B7" s="27" t="s">
        <v>128</v>
      </c>
      <c r="C7" s="51">
        <v>0</v>
      </c>
      <c r="D7" s="51">
        <v>4.45</v>
      </c>
      <c r="E7" s="52">
        <v>1.5015000000000001</v>
      </c>
      <c r="F7" s="52">
        <v>1.5</v>
      </c>
      <c r="G7" s="52">
        <v>0.6855</v>
      </c>
      <c r="H7" s="52">
        <v>0.6</v>
      </c>
      <c r="I7" s="52">
        <v>2.39</v>
      </c>
    </row>
    <row r="8" spans="1:9" ht="15" customHeight="1" x14ac:dyDescent="0.25">
      <c r="A8" s="19" t="s">
        <v>131</v>
      </c>
      <c r="B8" s="22" t="s">
        <v>128</v>
      </c>
      <c r="C8" s="53">
        <v>0</v>
      </c>
      <c r="D8" s="53">
        <v>1.86</v>
      </c>
      <c r="E8" s="54">
        <v>0.50629999999999997</v>
      </c>
      <c r="F8" s="54">
        <v>0.5</v>
      </c>
      <c r="G8" s="54">
        <v>0.28839999999999999</v>
      </c>
      <c r="H8" s="54">
        <v>0.11</v>
      </c>
      <c r="I8" s="54">
        <v>0.88</v>
      </c>
    </row>
    <row r="9" spans="1:9" ht="15" customHeight="1" x14ac:dyDescent="0.25">
      <c r="A9" s="24" t="s">
        <v>132</v>
      </c>
      <c r="B9" s="27" t="s">
        <v>128</v>
      </c>
      <c r="C9" s="51">
        <v>0</v>
      </c>
      <c r="D9" s="51">
        <v>1.19</v>
      </c>
      <c r="E9" s="52">
        <v>0.40179999999999999</v>
      </c>
      <c r="F9" s="52">
        <v>0.4</v>
      </c>
      <c r="G9" s="52">
        <v>0.19639999999999999</v>
      </c>
      <c r="H9" s="52">
        <v>0.14000000000000001</v>
      </c>
      <c r="I9" s="52">
        <v>0.66</v>
      </c>
    </row>
    <row r="10" spans="1:9" ht="15" customHeight="1" x14ac:dyDescent="0.25">
      <c r="A10" s="19" t="s">
        <v>133</v>
      </c>
      <c r="B10" s="22" t="s">
        <v>128</v>
      </c>
      <c r="C10" s="53">
        <v>0</v>
      </c>
      <c r="D10" s="53">
        <v>3</v>
      </c>
      <c r="E10" s="54">
        <v>0.81299999999999994</v>
      </c>
      <c r="F10" s="54">
        <v>0.8</v>
      </c>
      <c r="G10" s="54">
        <v>0.47720000000000001</v>
      </c>
      <c r="H10" s="54">
        <v>0.16</v>
      </c>
      <c r="I10" s="54">
        <v>1.45</v>
      </c>
    </row>
    <row r="11" spans="1:9" ht="15" customHeight="1" x14ac:dyDescent="0.25">
      <c r="A11" s="24" t="s">
        <v>134</v>
      </c>
      <c r="B11" s="27" t="s">
        <v>128</v>
      </c>
      <c r="C11" s="51">
        <v>5</v>
      </c>
      <c r="D11" s="51">
        <v>27.185700000000001</v>
      </c>
      <c r="E11" s="52">
        <v>15.004099999999999</v>
      </c>
      <c r="F11" s="52">
        <v>14.996</v>
      </c>
      <c r="G11" s="52">
        <v>2.9847999999999999</v>
      </c>
      <c r="H11" s="52">
        <v>11.1861</v>
      </c>
      <c r="I11" s="52">
        <v>18.830400000000001</v>
      </c>
    </row>
    <row r="12" spans="1:9" ht="15" customHeight="1" x14ac:dyDescent="0.25">
      <c r="A12" s="19" t="s">
        <v>135</v>
      </c>
      <c r="B12" s="22" t="s">
        <v>128</v>
      </c>
      <c r="C12" s="53">
        <v>2</v>
      </c>
      <c r="D12" s="53">
        <v>12</v>
      </c>
      <c r="E12" s="54">
        <v>6.0018000000000002</v>
      </c>
      <c r="F12" s="54">
        <v>6.0033000000000003</v>
      </c>
      <c r="G12" s="54">
        <v>1.4902</v>
      </c>
      <c r="H12" s="54">
        <v>4.0750999999999999</v>
      </c>
      <c r="I12" s="54">
        <v>7.9161000000000001</v>
      </c>
    </row>
    <row r="13" spans="1:9" ht="15" customHeight="1" x14ac:dyDescent="0.25">
      <c r="A13" s="24" t="s">
        <v>136</v>
      </c>
      <c r="B13" s="27" t="s">
        <v>128</v>
      </c>
      <c r="C13" s="51">
        <v>1</v>
      </c>
      <c r="D13" s="51">
        <v>8</v>
      </c>
      <c r="E13" s="52">
        <v>4.0045000000000002</v>
      </c>
      <c r="F13" s="52">
        <v>4.0060000000000002</v>
      </c>
      <c r="G13" s="52">
        <v>0.99399999999999999</v>
      </c>
      <c r="H13" s="52">
        <v>2.7273000000000001</v>
      </c>
      <c r="I13" s="52">
        <v>5.2781000000000002</v>
      </c>
    </row>
    <row r="14" spans="1:9" ht="15" customHeight="1" x14ac:dyDescent="0.25">
      <c r="A14" s="19" t="s">
        <v>137</v>
      </c>
      <c r="B14" s="22" t="s">
        <v>138</v>
      </c>
      <c r="C14" s="53">
        <v>1.01</v>
      </c>
      <c r="D14" s="53">
        <v>4.99</v>
      </c>
      <c r="E14" s="54">
        <v>3.0013000000000001</v>
      </c>
      <c r="F14" s="54">
        <v>3</v>
      </c>
      <c r="G14" s="54">
        <v>0.87270000000000003</v>
      </c>
      <c r="H14" s="54">
        <v>1.79</v>
      </c>
      <c r="I14" s="54">
        <v>4.21</v>
      </c>
    </row>
    <row r="15" spans="1:9" ht="15" customHeight="1" x14ac:dyDescent="0.25">
      <c r="A15" s="24" t="s">
        <v>139</v>
      </c>
      <c r="B15" s="27" t="s">
        <v>128</v>
      </c>
      <c r="C15" s="51">
        <v>0.5</v>
      </c>
      <c r="D15" s="51">
        <v>19.940000000000001</v>
      </c>
      <c r="E15" s="52">
        <v>6.3007</v>
      </c>
      <c r="F15" s="52">
        <v>6.28</v>
      </c>
      <c r="G15" s="52">
        <v>3.3618999999999999</v>
      </c>
      <c r="H15" s="52">
        <v>1.69</v>
      </c>
      <c r="I15" s="52">
        <v>10.87</v>
      </c>
    </row>
    <row r="16" spans="1:9" ht="15" customHeight="1" x14ac:dyDescent="0.25">
      <c r="A16" s="19" t="s">
        <v>140</v>
      </c>
      <c r="B16" s="22" t="s">
        <v>141</v>
      </c>
      <c r="C16" s="53">
        <v>2</v>
      </c>
      <c r="D16" s="53">
        <v>5.5787000000000004</v>
      </c>
      <c r="E16" s="54">
        <v>3.5045999999999999</v>
      </c>
      <c r="F16" s="54">
        <v>3.5057999999999998</v>
      </c>
      <c r="G16" s="54">
        <v>0.498</v>
      </c>
      <c r="H16" s="54">
        <v>2.8654000000000002</v>
      </c>
      <c r="I16" s="54">
        <v>4.1425999999999998</v>
      </c>
    </row>
    <row r="17" spans="1:9" ht="15" customHeight="1" x14ac:dyDescent="0.25">
      <c r="A17" s="24" t="s">
        <v>16</v>
      </c>
      <c r="B17" s="27" t="s">
        <v>142</v>
      </c>
      <c r="C17" s="51">
        <v>5.5</v>
      </c>
      <c r="D17" s="51">
        <v>8</v>
      </c>
      <c r="E17" s="52">
        <v>6.5025000000000004</v>
      </c>
      <c r="F17" s="52">
        <v>6.5011000000000001</v>
      </c>
      <c r="G17" s="52">
        <v>0.39760000000000001</v>
      </c>
      <c r="H17" s="52">
        <v>5.99</v>
      </c>
      <c r="I17" s="52">
        <v>7.0176999999999996</v>
      </c>
    </row>
    <row r="18" spans="1:9" ht="15" customHeight="1" x14ac:dyDescent="0.25">
      <c r="A18" s="19" t="s">
        <v>143</v>
      </c>
      <c r="B18" s="22" t="s">
        <v>144</v>
      </c>
      <c r="C18" s="53">
        <v>1</v>
      </c>
      <c r="D18" s="53">
        <v>32.625399999999999</v>
      </c>
      <c r="E18" s="54">
        <v>12.0633</v>
      </c>
      <c r="F18" s="54">
        <v>12.042400000000001</v>
      </c>
      <c r="G18" s="54">
        <v>4.9539999999999997</v>
      </c>
      <c r="H18" s="54">
        <v>5.6113</v>
      </c>
      <c r="I18" s="54">
        <v>18.461200000000002</v>
      </c>
    </row>
    <row r="19" spans="1:9" ht="15" customHeight="1" x14ac:dyDescent="0.25">
      <c r="A19" s="24" t="s">
        <v>145</v>
      </c>
      <c r="B19" s="27" t="s">
        <v>146</v>
      </c>
      <c r="C19" s="51">
        <v>5.05</v>
      </c>
      <c r="D19" s="51">
        <v>149.74</v>
      </c>
      <c r="E19" s="52">
        <v>55.177199999999999</v>
      </c>
      <c r="F19" s="52">
        <v>55.2</v>
      </c>
      <c r="G19" s="52">
        <v>26.286300000000001</v>
      </c>
      <c r="H19" s="52">
        <v>18.91</v>
      </c>
      <c r="I19" s="52">
        <v>91.3</v>
      </c>
    </row>
    <row r="20" spans="1:9" ht="15" customHeight="1" x14ac:dyDescent="0.25">
      <c r="A20" s="19" t="s">
        <v>147</v>
      </c>
      <c r="B20" s="22" t="s">
        <v>148</v>
      </c>
      <c r="C20" s="53">
        <v>10</v>
      </c>
      <c r="D20" s="53">
        <v>80</v>
      </c>
      <c r="E20" s="54">
        <v>45</v>
      </c>
      <c r="F20" s="54">
        <v>45.012500000000003</v>
      </c>
      <c r="G20" s="54">
        <v>9.9390999999999998</v>
      </c>
      <c r="H20" s="54">
        <v>32.2791</v>
      </c>
      <c r="I20" s="54">
        <v>57.725000000000001</v>
      </c>
    </row>
    <row r="23" spans="1:9" ht="19.5" customHeight="1" x14ac:dyDescent="0.25">
      <c r="A23" s="1" t="s">
        <v>149</v>
      </c>
      <c r="B23" s="1"/>
      <c r="C23" s="1"/>
      <c r="D23" s="1"/>
      <c r="E23" s="1"/>
      <c r="F23" s="1"/>
      <c r="G23" s="1"/>
      <c r="H23" s="1"/>
      <c r="I23" s="1"/>
    </row>
    <row r="24" spans="1:9" ht="18" customHeight="1" x14ac:dyDescent="0.25">
      <c r="A24" s="50" t="s">
        <v>150</v>
      </c>
      <c r="B24" s="50" t="s">
        <v>151</v>
      </c>
      <c r="C24" s="50" t="s">
        <v>152</v>
      </c>
    </row>
    <row r="25" spans="1:9" ht="15" customHeight="1" x14ac:dyDescent="0.25">
      <c r="A25" s="27" t="s">
        <v>153</v>
      </c>
      <c r="B25" s="55">
        <v>16053</v>
      </c>
      <c r="C25" s="56">
        <f>B25/B35*100</f>
        <v>32.106000000000002</v>
      </c>
    </row>
    <row r="26" spans="1:9" ht="15" customHeight="1" x14ac:dyDescent="0.25">
      <c r="A26" s="22" t="s">
        <v>154</v>
      </c>
      <c r="B26" s="57">
        <v>8993</v>
      </c>
      <c r="C26" s="58">
        <f>B26/B35*100</f>
        <v>17.986000000000001</v>
      </c>
    </row>
    <row r="27" spans="1:9" ht="15" customHeight="1" x14ac:dyDescent="0.25">
      <c r="A27" s="27" t="s">
        <v>155</v>
      </c>
      <c r="B27" s="55">
        <v>15982</v>
      </c>
      <c r="C27" s="56">
        <f>B27/B35*100</f>
        <v>31.963999999999999</v>
      </c>
    </row>
    <row r="28" spans="1:9" ht="15" customHeight="1" x14ac:dyDescent="0.25">
      <c r="A28" s="22" t="s">
        <v>156</v>
      </c>
      <c r="B28" s="57">
        <v>8972</v>
      </c>
      <c r="C28" s="58">
        <f>B28/B35*100</f>
        <v>17.943999999999999</v>
      </c>
    </row>
    <row r="29" spans="1:9" ht="15" customHeight="1" x14ac:dyDescent="0.25">
      <c r="A29" s="27" t="s">
        <v>157</v>
      </c>
      <c r="B29" s="55">
        <v>49003</v>
      </c>
      <c r="C29" s="56">
        <f>B29/B35*100</f>
        <v>98.006</v>
      </c>
    </row>
    <row r="30" spans="1:9" ht="15" customHeight="1" x14ac:dyDescent="0.25">
      <c r="A30" s="22" t="s">
        <v>158</v>
      </c>
      <c r="B30" s="57">
        <v>997</v>
      </c>
      <c r="C30" s="58">
        <f>B30/B35*100</f>
        <v>1.994</v>
      </c>
    </row>
    <row r="31" spans="1:9" ht="15" customHeight="1" x14ac:dyDescent="0.25">
      <c r="A31" s="27" t="s">
        <v>159</v>
      </c>
      <c r="B31" s="55">
        <v>249</v>
      </c>
      <c r="C31" s="56">
        <f>B31/B35*100</f>
        <v>0.498</v>
      </c>
    </row>
    <row r="32" spans="1:9" ht="15" customHeight="1" x14ac:dyDescent="0.25">
      <c r="A32" s="22" t="s">
        <v>160</v>
      </c>
      <c r="B32" s="57">
        <v>242</v>
      </c>
      <c r="C32" s="58">
        <f>B32/B35*100</f>
        <v>0.48399999999999999</v>
      </c>
    </row>
    <row r="33" spans="1:3" ht="15" customHeight="1" x14ac:dyDescent="0.25">
      <c r="A33" s="27" t="s">
        <v>161</v>
      </c>
      <c r="B33" s="55">
        <v>235</v>
      </c>
      <c r="C33" s="56">
        <f>B33/B35*100</f>
        <v>0.47000000000000003</v>
      </c>
    </row>
    <row r="34" spans="1:3" ht="15" customHeight="1" x14ac:dyDescent="0.25">
      <c r="A34" s="22" t="s">
        <v>162</v>
      </c>
      <c r="B34" s="57">
        <v>271</v>
      </c>
      <c r="C34" s="58">
        <f>B34/B35*100</f>
        <v>0.54200000000000004</v>
      </c>
    </row>
    <row r="35" spans="1:3" ht="15" customHeight="1" x14ac:dyDescent="0.25">
      <c r="A35" s="59" t="s">
        <v>163</v>
      </c>
      <c r="B35" s="60">
        <v>50000</v>
      </c>
      <c r="C35" s="61" t="s">
        <v>164</v>
      </c>
    </row>
  </sheetData>
  <mergeCells count="3">
    <mergeCell ref="A1:I1"/>
    <mergeCell ref="A2:I2"/>
    <mergeCell ref="A23:I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Résultats Labo Régulateur</vt:lpstr>
      <vt:lpstr>Comparaison Prod vs Reg</vt:lpstr>
      <vt:lpstr>Statistiques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Dr_Denise</cp:lastModifiedBy>
  <cp:revision>0</cp:revision>
  <dcterms:created xsi:type="dcterms:W3CDTF">2026-03-15T20:09:27Z</dcterms:created>
  <dcterms:modified xsi:type="dcterms:W3CDTF">2026-04-11T13:14:49Z</dcterms:modified>
  <dc:language>en-US</dc:language>
</cp:coreProperties>
</file>