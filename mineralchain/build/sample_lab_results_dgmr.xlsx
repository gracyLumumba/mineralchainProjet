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sultats Labo Régulateur" sheetId="1" state="visible" r:id="rId3"/>
    <sheet name="Comparaison Prod vs Reg" sheetId="2" state="visible" r:id="rId4"/>
    <sheet name="Statistiques Datas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<sst xmlns="http://schemas.openxmlformats.org/spreadsheetml/2006/main" count="390" uniqueCount="168">
  <si>
    <t xml:space="preserve">DGMR — RÉSULTATS LABORATOIRE INDÉPENDANT</t>
  </si>
  <si>
    <t xml:space="preserve">Mines KAMOA &amp; KCC — Katanga, RDC  |  Analyses double contrôle — Format import MineralChain v7</t>
  </si>
  <si>
    <t xml:space="preserve">Lot ID</t>
  </si>
  <si>
    <t xml:space="preserve">Site</t>
  </si>
  <si>
    <t xml:space="preserve">Type Minerai</t>
  </si>
  <si>
    <t xml:space="preserve">Cu (%)</t>
  </si>
  <si>
    <t xml:space="preserve">Co (%)</t>
  </si>
  <si>
    <t xml:space="preserve">Fe (%)</t>
  </si>
  <si>
    <t xml:space="preserve">Ni (%)</t>
  </si>
  <si>
    <t xml:space="preserve">S (%)</t>
  </si>
  <si>
    <t xml:space="preserve">SiO₂ (%)</t>
  </si>
  <si>
    <t xml:space="preserve">Al₂O₃ (%)</t>
  </si>
  <si>
    <t xml:space="preserve">MgO (%)</t>
  </si>
  <si>
    <t xml:space="preserve">Mn (%)</t>
  </si>
  <si>
    <t xml:space="preserve">Densité (t/m³)</t>
  </si>
  <si>
    <t xml:space="preserve">Humidité (%)</t>
  </si>
  <si>
    <t xml:space="preserve">Dureté (Mohs)</t>
  </si>
  <si>
    <t xml:space="preserve">pH</t>
  </si>
  <si>
    <t xml:space="preserve">Granu. (mm)</t>
  </si>
  <si>
    <t xml:space="preserve">Poids (t)</t>
  </si>
  <si>
    <t xml:space="preserve">Cond. Élec.</t>
  </si>
  <si>
    <t xml:space="preserve">Date Analyse</t>
  </si>
  <si>
    <t xml:space="preserve">Analyste</t>
  </si>
  <si>
    <t xml:space="preserve">Observation</t>
  </si>
  <si>
    <t xml:space="preserve">LOT_02881</t>
  </si>
  <si>
    <t xml:space="preserve">KAMOA</t>
  </si>
  <si>
    <t xml:space="preserve">cobalt</t>
  </si>
  <si>
    <t xml:space="preserve">2025-03-01</t>
  </si>
  <si>
    <t xml:space="preserve">Dr. Kabongo M.</t>
  </si>
  <si>
    <t xml:space="preserve">ANOMALIE DÉTECTÉE — Écart significatif avec déclaration producteur</t>
  </si>
  <si>
    <t xml:space="preserve">LOT_09235</t>
  </si>
  <si>
    <t xml:space="preserve">2025-03-02</t>
  </si>
  <si>
    <t xml:space="preserve">Ing. Mutombo J.</t>
  </si>
  <si>
    <t xml:space="preserve">Conforme — Dans les tolérances CEEC/DGMR</t>
  </si>
  <si>
    <t xml:space="preserve">LOT_34613</t>
  </si>
  <si>
    <t xml:space="preserve">KCC</t>
  </si>
  <si>
    <t xml:space="preserve">2025-03-03</t>
  </si>
  <si>
    <t xml:space="preserve">Dr. Lukusa P.</t>
  </si>
  <si>
    <t xml:space="preserve">LOT_49250</t>
  </si>
  <si>
    <t xml:space="preserve">copper</t>
  </si>
  <si>
    <t xml:space="preserve">2025-03-04</t>
  </si>
  <si>
    <t xml:space="preserve">Ing. Nkulu T.</t>
  </si>
  <si>
    <t xml:space="preserve">LOT_35338</t>
  </si>
  <si>
    <t xml:space="preserve">2025-03-05</t>
  </si>
  <si>
    <t xml:space="preserve">Dr. Ilunga S.</t>
  </si>
  <si>
    <t xml:space="preserve">Impuretés élevées — Vérification traitement</t>
  </si>
  <si>
    <t xml:space="preserve">LOT_24772</t>
  </si>
  <si>
    <t xml:space="preserve">2025-03-06</t>
  </si>
  <si>
    <t xml:space="preserve">LOT_20103</t>
  </si>
  <si>
    <t xml:space="preserve">2025-03-07</t>
  </si>
  <si>
    <t xml:space="preserve">LOT_05173</t>
  </si>
  <si>
    <t xml:space="preserve">2025-03-08</t>
  </si>
  <si>
    <t xml:space="preserve">LOT_01748</t>
  </si>
  <si>
    <t xml:space="preserve">2025-03-10</t>
  </si>
  <si>
    <t xml:space="preserve">LOT_43733</t>
  </si>
  <si>
    <t xml:space="preserve">2025-03-11</t>
  </si>
  <si>
    <t xml:space="preserve">LOT_31489</t>
  </si>
  <si>
    <t xml:space="preserve">2025-03-12</t>
  </si>
  <si>
    <t xml:space="preserve">LOT_04429</t>
  </si>
  <si>
    <t xml:space="preserve">2025-03-13</t>
  </si>
  <si>
    <t xml:space="preserve">LOT_34182</t>
  </si>
  <si>
    <t xml:space="preserve">2025-03-14</t>
  </si>
  <si>
    <t xml:space="preserve">LOT_35320</t>
  </si>
  <si>
    <t xml:space="preserve">2025-03-15</t>
  </si>
  <si>
    <t xml:space="preserve">LOT_00048</t>
  </si>
  <si>
    <t xml:space="preserve">2025-03-17</t>
  </si>
  <si>
    <t xml:space="preserve">Conforme — Qualité export</t>
  </si>
  <si>
    <t xml:space="preserve">LOT_21289</t>
  </si>
  <si>
    <t xml:space="preserve">2025-03-18</t>
  </si>
  <si>
    <t xml:space="preserve">LOT_21136</t>
  </si>
  <si>
    <t xml:space="preserve">2025-03-19</t>
  </si>
  <si>
    <t xml:space="preserve">LOT_06056</t>
  </si>
  <si>
    <t xml:space="preserve">2025-03-20</t>
  </si>
  <si>
    <t xml:space="preserve">LOT_27614</t>
  </si>
  <si>
    <t xml:space="preserve">2025-03-21</t>
  </si>
  <si>
    <t xml:space="preserve">LOT_28991</t>
  </si>
  <si>
    <t xml:space="preserve">2025-03-22</t>
  </si>
  <si>
    <t xml:space="preserve">LOT_38580</t>
  </si>
  <si>
    <t xml:space="preserve">2025-03-24</t>
  </si>
  <si>
    <t xml:space="preserve">LOT_08965</t>
  </si>
  <si>
    <t xml:space="preserve">2025-03-25</t>
  </si>
  <si>
    <t xml:space="preserve">LOT_33721</t>
  </si>
  <si>
    <t xml:space="preserve">2025-03-26</t>
  </si>
  <si>
    <t xml:space="preserve">LOT_02282</t>
  </si>
  <si>
    <t xml:space="preserve">2025-03-27</t>
  </si>
  <si>
    <t xml:space="preserve">LOT_06331</t>
  </si>
  <si>
    <t xml:space="preserve">2025-03-28</t>
  </si>
  <si>
    <t xml:space="preserve">MOYENNES (25 échantillons)</t>
  </si>
  <si>
    <t xml:space="preserve">COMPARAISON — Résultats Producteur vs Laboratoire Régulateur</t>
  </si>
  <si>
    <t xml:space="preserve">Seuils tolérance CEEC/DGMR  |  Vert = conforme  |  Rouge = hors tolérance  |  Δ = valeur absolue de l'écart</t>
  </si>
  <si>
    <t xml:space="preserve">Classe</t>
  </si>
  <si>
    <t xml:space="preserve">Cu (%) Prod.</t>
  </si>
  <si>
    <t xml:space="preserve">Cu (%) Reg.</t>
  </si>
  <si>
    <t xml:space="preserve">Δ Cu (%)</t>
  </si>
  <si>
    <t xml:space="preserve">Co (%) Prod.</t>
  </si>
  <si>
    <t xml:space="preserve">Co (%) Reg.</t>
  </si>
  <si>
    <t xml:space="preserve">Δ Co (%)</t>
  </si>
  <si>
    <t xml:space="preserve">Fe (%) Prod.</t>
  </si>
  <si>
    <t xml:space="preserve">Fe (%) Reg.</t>
  </si>
  <si>
    <t xml:space="preserve">Δ Fe (%)</t>
  </si>
  <si>
    <t xml:space="preserve">Ni (%) Prod.</t>
  </si>
  <si>
    <t xml:space="preserve">Ni (%) Reg.</t>
  </si>
  <si>
    <t xml:space="preserve">Δ Ni (%)</t>
  </si>
  <si>
    <t xml:space="preserve">S (%) Prod.</t>
  </si>
  <si>
    <t xml:space="preserve">S (%) Reg.</t>
  </si>
  <si>
    <t xml:space="preserve">Δ S (%)</t>
  </si>
  <si>
    <t xml:space="preserve">SiO₂ (%) Prod.</t>
  </si>
  <si>
    <t xml:space="preserve">SiO₂ (%) Reg.</t>
  </si>
  <si>
    <t xml:space="preserve">Δ SiO₂ (%)</t>
  </si>
  <si>
    <t xml:space="preserve">Densité Prod.</t>
  </si>
  <si>
    <t xml:space="preserve">Densité Reg.</t>
  </si>
  <si>
    <t xml:space="preserve">Δ Densité</t>
  </si>
  <si>
    <t xml:space="preserve">Humidité (%) Prod.</t>
  </si>
  <si>
    <t xml:space="preserve">Humidité (%) Reg.</t>
  </si>
  <si>
    <t xml:space="preserve">Δ Humidité (%)</t>
  </si>
  <si>
    <t xml:space="preserve">Statut</t>
  </si>
  <si>
    <t xml:space="preserve">Tolérance?</t>
  </si>
  <si>
    <t xml:space="preserve">✓ CONFORME</t>
  </si>
  <si>
    <t xml:space="preserve">0/8 hors seuil</t>
  </si>
  <si>
    <t xml:space="preserve">STATISTIQUES DATASET — 50 000 LOTS  |  Mines KAMOA &amp; KCC, Katanga RDC</t>
  </si>
  <si>
    <t xml:space="preserve">Données de référence pour calibration des modèles IA — MineralChain v7</t>
  </si>
  <si>
    <t xml:space="preserve">Paramètre</t>
  </si>
  <si>
    <t xml:space="preserve">Unité</t>
  </si>
  <si>
    <t xml:space="preserve">Minimum</t>
  </si>
  <si>
    <t xml:space="preserve">Maximum</t>
  </si>
  <si>
    <t xml:space="preserve">Moyenne</t>
  </si>
  <si>
    <t xml:space="preserve">Médiane</t>
  </si>
  <si>
    <t xml:space="preserve">Écart-type</t>
  </si>
  <si>
    <t xml:space="preserve">P10</t>
  </si>
  <si>
    <t xml:space="preserve">P90</t>
  </si>
  <si>
    <t xml:space="preserve">Cuivre — Cu</t>
  </si>
  <si>
    <t xml:space="preserve">%</t>
  </si>
  <si>
    <t xml:space="preserve">Cobalt — Co</t>
  </si>
  <si>
    <t xml:space="preserve">Fer — Fe</t>
  </si>
  <si>
    <t xml:space="preserve">Nickel — Ni</t>
  </si>
  <si>
    <t xml:space="preserve">Manganèse — Mn</t>
  </si>
  <si>
    <t xml:space="preserve">Soufre — S</t>
  </si>
  <si>
    <t xml:space="preserve">Silice — SiO₂</t>
  </si>
  <si>
    <t xml:space="preserve">Alumine — Al₂O₃</t>
  </si>
  <si>
    <t xml:space="preserve">Magnésie — MgO</t>
  </si>
  <si>
    <t xml:space="preserve">Densité</t>
  </si>
  <si>
    <t xml:space="preserve">t/m³</t>
  </si>
  <si>
    <t xml:space="preserve">Humidité</t>
  </si>
  <si>
    <t xml:space="preserve">Dureté</t>
  </si>
  <si>
    <t xml:space="preserve">Mohs</t>
  </si>
  <si>
    <t xml:space="preserve">—</t>
  </si>
  <si>
    <t xml:space="preserve">Granulométrie</t>
  </si>
  <si>
    <t xml:space="preserve">mm</t>
  </si>
  <si>
    <t xml:space="preserve">Poids lot</t>
  </si>
  <si>
    <t xml:space="preserve">t</t>
  </si>
  <si>
    <t xml:space="preserve">Conduct. électrique</t>
  </si>
  <si>
    <t xml:space="preserve">µS/cm</t>
  </si>
  <si>
    <t xml:space="preserve">DISTRIBUTION DES LOTS</t>
  </si>
  <si>
    <t xml:space="preserve">Catégorie</t>
  </si>
  <si>
    <t xml:space="preserve">Nombre de lots</t>
  </si>
  <si>
    <t xml:space="preserve">Pourcentage</t>
  </si>
  <si>
    <t xml:space="preserve">KAMOA — Cuivre (copper)</t>
  </si>
  <si>
    <t xml:space="preserve">KAMOA — Cobalt (cobalt)</t>
  </si>
  <si>
    <t xml:space="preserve">KCC — Cuivre (copper)</t>
  </si>
  <si>
    <t xml:space="preserve">KCC — Cobalt (cobalt)</t>
  </si>
  <si>
    <t xml:space="preserve">Lots authentiques</t>
  </si>
  <si>
    <t xml:space="preserve">Fraudes détectées</t>
  </si>
  <si>
    <t xml:space="preserve">Fraude : manipulation grade</t>
  </si>
  <si>
    <t xml:space="preserve">Fraude : fausse origine</t>
  </si>
  <si>
    <t xml:space="preserve">Fraude : altération poids</t>
  </si>
  <si>
    <t xml:space="preserve">Fraude : minerai mélangé</t>
  </si>
  <si>
    <t xml:space="preserve">TOTAL DATASET</t>
  </si>
  <si>
    <t xml:space="preserve">100.00 %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</si>
</sst>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0.000"/>
    <numFmt numFmtId="167" formatCode="#,##0"/>
    <numFmt numFmtId="168" formatCode="0.00\%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i val="true"/>
      <sz val="9"/>
      <color rgb="FF991B1B"/>
      <name val="Arial"/>
      <family val="0"/>
      <charset val="1"/>
    </font>
    <font>
      <sz val="9"/>
      <color rgb="FF374151"/>
      <name val="Arial"/>
      <family val="0"/>
      <charset val="1"/>
    </font>
    <font>
      <sz val="9"/>
      <color rgb="FF991B1B"/>
      <name val="Arial"/>
      <family val="0"/>
      <charset val="1"/>
    </font>
    <font>
      <i val="true"/>
      <sz val="9"/>
      <color rgb="FF991B1B"/>
      <name val="Arial"/>
      <family val="0"/>
      <charset val="1"/>
    </font>
    <font>
      <b val="true"/>
      <sz val="9"/>
      <color rgb="FF0D2B5E"/>
      <name val="Arial"/>
      <family val="0"/>
      <charset val="1"/>
    </font>
    <font>
      <sz val="9"/>
      <color rgb="FF065F46"/>
      <name val="Arial"/>
      <family val="0"/>
      <charset val="1"/>
    </font>
    <font>
      <i val="true"/>
      <sz val="9"/>
      <color rgb="FF374151"/>
      <name val="Arial"/>
      <family val="0"/>
      <charset val="1"/>
    </font>
    <font>
      <b val="true"/>
      <sz val="10"/>
      <color rgb="FF0D2B5E"/>
      <name val="Arial"/>
      <family val="0"/>
      <charset val="1"/>
    </font>
    <font>
      <b val="true"/>
      <sz val="9"/>
      <color rgb="FF1A56C4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color rgb="FF991B1B"/>
      <name val="Arial"/>
      <family val="0"/>
      <charset val="1"/>
    </font>
    <font>
      <sz val="8"/>
      <color rgb="FF374151"/>
      <name val="Arial"/>
      <family val="0"/>
      <charset val="1"/>
    </font>
    <font>
      <sz val="8"/>
      <color rgb="FF1A56C4"/>
      <name val="Arial"/>
      <family val="0"/>
      <charset val="1"/>
    </font>
    <font>
      <sz val="8"/>
      <color rgb="FF0F766E"/>
      <name val="Arial"/>
      <family val="0"/>
      <charset val="1"/>
    </font>
    <font>
      <b val="true"/>
      <sz val="8"/>
      <color rgb="FF065F46"/>
      <name val="Arial"/>
      <family val="0"/>
      <charset val="1"/>
    </font>
    <font>
      <sz val="8"/>
      <color rgb="FF065F46"/>
      <name val="Arial"/>
      <family val="0"/>
      <charset val="1"/>
    </font>
    <font>
      <b val="true"/>
      <sz val="8"/>
      <color rgb="FF0D2B5E"/>
      <name val="Arial"/>
      <family val="0"/>
      <charset val="1"/>
    </font>
    <font>
      <sz val="9"/>
      <color rgb="FF1A56C4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D2B5E"/>
        <bgColor rgb="FF374151"/>
      </patternFill>
    </fill>
    <fill>
      <patternFill patternType="solid">
        <fgColor rgb="FFEEF4FF"/>
        <bgColor rgb="FFF3F4F6"/>
      </patternFill>
    </fill>
    <fill>
      <patternFill patternType="solid">
        <fgColor rgb="FF1A56C4"/>
        <bgColor rgb="FF1D4ED8"/>
      </patternFill>
    </fill>
    <fill>
      <patternFill patternType="solid">
        <fgColor rgb="FF2563EB"/>
        <bgColor rgb="FF1A56C4"/>
      </patternFill>
    </fill>
    <fill>
      <patternFill patternType="solid">
        <fgColor rgb="FF0F766E"/>
        <bgColor rgb="FF0369A1"/>
      </patternFill>
    </fill>
    <fill>
      <patternFill patternType="solid">
        <fgColor rgb="FF5B21B6"/>
        <bgColor rgb="FF800080"/>
      </patternFill>
    </fill>
    <fill>
      <patternFill patternType="solid">
        <fgColor rgb="FFB8860B"/>
        <bgColor rgb="FFFF9900"/>
      </patternFill>
    </fill>
    <fill>
      <patternFill patternType="solid">
        <fgColor rgb="FFFEF2F2"/>
        <bgColor rgb="FFF3F4F6"/>
      </patternFill>
    </fill>
    <fill>
      <patternFill patternType="solid">
        <fgColor rgb="FFFFFFFF"/>
        <bgColor rgb="FFFEF2F2"/>
      </patternFill>
    </fill>
    <fill>
      <patternFill patternType="solid">
        <fgColor rgb="FFF3F4F6"/>
        <bgColor rgb="FFEEF4FF"/>
      </patternFill>
    </fill>
    <fill>
      <patternFill patternType="solid">
        <fgColor rgb="FF1D4ED8"/>
        <bgColor rgb="FF1A56C4"/>
      </patternFill>
    </fill>
    <fill>
      <patternFill patternType="solid">
        <fgColor rgb="FF0369A1"/>
        <bgColor rgb="FF0F766E"/>
      </patternFill>
    </fill>
    <fill>
      <patternFill patternType="solid">
        <fgColor rgb="FFECFDF5"/>
        <bgColor rgb="FFEEF4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medium">
        <color rgb="FF0D2B5E"/>
      </bottom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1D4ED8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F766E"/>
      <rgbColor rgb="FFC0C0C0"/>
      <rgbColor rgb="FF808080"/>
      <rgbColor rgb="FF9999FF"/>
      <rgbColor rgb="FF993366"/>
      <rgbColor rgb="FFFEF2F2"/>
      <rgbColor rgb="FFECFDF5"/>
      <rgbColor rgb="FF660066"/>
      <rgbColor rgb="FFFF8080"/>
      <rgbColor rgb="FF0369A1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EEF4FF"/>
      <rgbColor rgb="FFF3F4F6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B7280"/>
      <rgbColor rgb="FF969696"/>
      <rgbColor rgb="FF0D2B5E"/>
      <rgbColor rgb="FF1A56C4"/>
      <rgbColor rgb="FF003300"/>
      <rgbColor rgb="FF333300"/>
      <rgbColor rgb="FF991B1B"/>
      <rgbColor rgb="FF993366"/>
      <rgbColor rgb="FF5B21B6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8" min="4" style="0" width="9"/>
    <col collapsed="false" customWidth="true" hidden="false" outlineLevel="0" max="12" min="9" style="0" width="10"/>
    <col collapsed="false" customWidth="true" hidden="false" outlineLevel="0" max="13" min="13" style="0" width="14"/>
    <col collapsed="false" customWidth="true" hidden="false" outlineLevel="0" max="15" min="14" style="0" width="13"/>
    <col collapsed="false" customWidth="true" hidden="false" outlineLevel="0" max="16" min="16" style="0" width="8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14"/>
    <col collapsed="false" customWidth="true" hidden="false" outlineLevel="0" max="21" min="21" style="0" width="18"/>
    <col collapsed="false" customWidth="true" hidden="false" outlineLevel="0" max="22" min="22" style="0" width="28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6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customFormat="false" ht="36" hidden="false" customHeight="true" outlineLevel="0" collapsed="false">
      <c r="A4" s="4" t="s">
        <v>2</v>
      </c>
      <c r="B4" s="4" t="s">
        <v>3</v>
      </c>
      <c r="C4" s="4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6" t="s">
        <v>11</v>
      </c>
      <c r="K4" s="6" t="s">
        <v>12</v>
      </c>
      <c r="L4" s="6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7" t="s">
        <v>18</v>
      </c>
      <c r="R4" s="7" t="s">
        <v>19</v>
      </c>
      <c r="S4" s="8" t="s">
        <v>20</v>
      </c>
      <c r="T4" s="9" t="s">
        <v>21</v>
      </c>
      <c r="U4" s="9" t="s">
        <v>22</v>
      </c>
      <c r="V4" s="9" t="s">
        <v>23</v>
      </c>
    </row>
    <row r="5" customFormat="false" ht="15.75" hidden="false" customHeight="true" outlineLevel="0" collapsed="false">
      <c r="A5" s="10" t="s">
        <v>24</v>
      </c>
      <c r="B5" s="11" t="s">
        <v>25</v>
      </c>
      <c r="C5" s="11" t="s">
        <v>26</v>
      </c>
      <c r="D5" s="12" t="n">
        <v>1.2626</v>
      </c>
      <c r="E5" s="12" t="n">
        <v>3.2385</v>
      </c>
      <c r="F5" s="12" t="n">
        <v>1.3316</v>
      </c>
      <c r="G5" s="12" t="n">
        <v>0.0674</v>
      </c>
      <c r="H5" s="12" t="n">
        <v>0.5819</v>
      </c>
      <c r="I5" s="12" t="n">
        <v>16.0143</v>
      </c>
      <c r="J5" s="12" t="n">
        <v>5.8787</v>
      </c>
      <c r="K5" s="12" t="n">
        <v>4.6533</v>
      </c>
      <c r="L5" s="12" t="n">
        <v>0.3135</v>
      </c>
      <c r="M5" s="12" t="n">
        <v>2.709</v>
      </c>
      <c r="N5" s="12" t="n">
        <v>9.6581</v>
      </c>
      <c r="O5" s="12" t="n">
        <v>3.1671</v>
      </c>
      <c r="P5" s="12" t="n">
        <v>6.9105</v>
      </c>
      <c r="Q5" s="12" t="n">
        <v>18.4073</v>
      </c>
      <c r="R5" s="12" t="n">
        <v>96.5568</v>
      </c>
      <c r="S5" s="12" t="n">
        <v>52.237</v>
      </c>
      <c r="T5" s="11" t="s">
        <v>27</v>
      </c>
      <c r="U5" s="13" t="s">
        <v>28</v>
      </c>
      <c r="V5" s="14" t="s">
        <v>29</v>
      </c>
    </row>
    <row r="6" customFormat="false" ht="15.75" hidden="false" customHeight="true" outlineLevel="0" collapsed="false">
      <c r="A6" s="15" t="s">
        <v>30</v>
      </c>
      <c r="B6" s="16" t="s">
        <v>25</v>
      </c>
      <c r="C6" s="16" t="s">
        <v>26</v>
      </c>
      <c r="D6" s="17" t="n">
        <v>1.4072</v>
      </c>
      <c r="E6" s="17" t="n">
        <v>2.1968</v>
      </c>
      <c r="F6" s="17" t="n">
        <v>0.9191</v>
      </c>
      <c r="G6" s="16" t="n">
        <v>0</v>
      </c>
      <c r="H6" s="17" t="n">
        <v>1.3472</v>
      </c>
      <c r="I6" s="17" t="n">
        <v>9.9121</v>
      </c>
      <c r="J6" s="17" t="n">
        <v>7.2793</v>
      </c>
      <c r="K6" s="17" t="n">
        <v>5.4461</v>
      </c>
      <c r="L6" s="17" t="n">
        <v>0.2374</v>
      </c>
      <c r="M6" s="17" t="n">
        <v>3.77</v>
      </c>
      <c r="N6" s="17" t="n">
        <v>1.7329</v>
      </c>
      <c r="O6" s="17" t="n">
        <v>3.2836</v>
      </c>
      <c r="P6" s="17" t="n">
        <v>6.5391</v>
      </c>
      <c r="Q6" s="17" t="n">
        <v>6.1201</v>
      </c>
      <c r="R6" s="17" t="n">
        <v>90.7975</v>
      </c>
      <c r="S6" s="17" t="n">
        <v>36.2086</v>
      </c>
      <c r="T6" s="16" t="s">
        <v>31</v>
      </c>
      <c r="U6" s="18" t="s">
        <v>32</v>
      </c>
      <c r="V6" s="19" t="s">
        <v>33</v>
      </c>
    </row>
    <row r="7" customFormat="false" ht="15.75" hidden="false" customHeight="true" outlineLevel="0" collapsed="false">
      <c r="A7" s="20" t="s">
        <v>34</v>
      </c>
      <c r="B7" s="21" t="s">
        <v>35</v>
      </c>
      <c r="C7" s="21" t="s">
        <v>26</v>
      </c>
      <c r="D7" s="22" t="n">
        <v>4.2335</v>
      </c>
      <c r="E7" s="22" t="n">
        <v>3.826</v>
      </c>
      <c r="F7" s="22" t="n">
        <v>0.4126</v>
      </c>
      <c r="G7" s="22" t="n">
        <v>0.6396</v>
      </c>
      <c r="H7" s="22" t="n">
        <v>0.8498</v>
      </c>
      <c r="I7" s="22" t="n">
        <v>9.4493</v>
      </c>
      <c r="J7" s="22" t="n">
        <v>6.3421</v>
      </c>
      <c r="K7" s="22" t="n">
        <v>4.1541</v>
      </c>
      <c r="L7" s="22" t="n">
        <v>0.5115</v>
      </c>
      <c r="M7" s="22" t="n">
        <v>2.9181</v>
      </c>
      <c r="N7" s="22" t="n">
        <v>10.9239</v>
      </c>
      <c r="O7" s="22" t="n">
        <v>3.6968</v>
      </c>
      <c r="P7" s="22" t="n">
        <v>6.2732</v>
      </c>
      <c r="Q7" s="22" t="n">
        <v>6.8265</v>
      </c>
      <c r="R7" s="22" t="n">
        <v>24.8984</v>
      </c>
      <c r="S7" s="22" t="n">
        <v>40.8555</v>
      </c>
      <c r="T7" s="21" t="s">
        <v>36</v>
      </c>
      <c r="U7" s="23" t="s">
        <v>37</v>
      </c>
      <c r="V7" s="24" t="s">
        <v>33</v>
      </c>
    </row>
    <row r="8" customFormat="false" ht="15.75" hidden="false" customHeight="true" outlineLevel="0" collapsed="false">
      <c r="A8" s="15" t="s">
        <v>38</v>
      </c>
      <c r="B8" s="16" t="s">
        <v>25</v>
      </c>
      <c r="C8" s="16" t="s">
        <v>39</v>
      </c>
      <c r="D8" s="17" t="n">
        <v>2.8726</v>
      </c>
      <c r="E8" s="17" t="n">
        <v>3.1271</v>
      </c>
      <c r="F8" s="17" t="n">
        <v>1.2142</v>
      </c>
      <c r="G8" s="17" t="n">
        <v>0.2233</v>
      </c>
      <c r="H8" s="17" t="n">
        <v>1.6655</v>
      </c>
      <c r="I8" s="17" t="n">
        <v>10.882</v>
      </c>
      <c r="J8" s="17" t="n">
        <v>5.6037</v>
      </c>
      <c r="K8" s="17" t="n">
        <v>4.221</v>
      </c>
      <c r="L8" s="17" t="n">
        <v>0.5894</v>
      </c>
      <c r="M8" s="17" t="n">
        <v>3.7689</v>
      </c>
      <c r="N8" s="17" t="n">
        <v>11.025</v>
      </c>
      <c r="O8" s="17" t="n">
        <v>4.3519</v>
      </c>
      <c r="P8" s="17" t="n">
        <v>6.804</v>
      </c>
      <c r="Q8" s="17" t="n">
        <v>7.0064</v>
      </c>
      <c r="R8" s="17" t="n">
        <v>73.8553</v>
      </c>
      <c r="S8" s="17" t="n">
        <v>47.5128</v>
      </c>
      <c r="T8" s="16" t="s">
        <v>40</v>
      </c>
      <c r="U8" s="18" t="s">
        <v>41</v>
      </c>
      <c r="V8" s="19" t="s">
        <v>33</v>
      </c>
    </row>
    <row r="9" customFormat="false" ht="15.75" hidden="false" customHeight="true" outlineLevel="0" collapsed="false">
      <c r="A9" s="20" t="s">
        <v>42</v>
      </c>
      <c r="B9" s="21" t="s">
        <v>35</v>
      </c>
      <c r="C9" s="21" t="s">
        <v>26</v>
      </c>
      <c r="D9" s="22" t="n">
        <v>2.8949</v>
      </c>
      <c r="E9" s="22" t="n">
        <v>3.9753</v>
      </c>
      <c r="F9" s="22" t="n">
        <v>2.6287</v>
      </c>
      <c r="G9" s="22" t="n">
        <v>0.3931</v>
      </c>
      <c r="H9" s="22" t="n">
        <v>1.1629</v>
      </c>
      <c r="I9" s="22" t="n">
        <v>16.8789</v>
      </c>
      <c r="J9" s="22" t="n">
        <v>4.9971</v>
      </c>
      <c r="K9" s="22" t="n">
        <v>4.2108</v>
      </c>
      <c r="L9" s="22" t="n">
        <v>0.7485</v>
      </c>
      <c r="M9" s="22" t="n">
        <v>2.7795</v>
      </c>
      <c r="N9" s="22" t="n">
        <v>2.5506</v>
      </c>
      <c r="O9" s="22" t="n">
        <v>3.2493</v>
      </c>
      <c r="P9" s="22" t="n">
        <v>7.0444</v>
      </c>
      <c r="Q9" s="22" t="n">
        <v>16.8846</v>
      </c>
      <c r="R9" s="22" t="n">
        <v>21.7248</v>
      </c>
      <c r="S9" s="22" t="n">
        <v>51.2073</v>
      </c>
      <c r="T9" s="21" t="s">
        <v>43</v>
      </c>
      <c r="U9" s="23" t="s">
        <v>44</v>
      </c>
      <c r="V9" s="24" t="s">
        <v>45</v>
      </c>
    </row>
    <row r="10" customFormat="false" ht="15.75" hidden="false" customHeight="true" outlineLevel="0" collapsed="false">
      <c r="A10" s="15" t="s">
        <v>46</v>
      </c>
      <c r="B10" s="16" t="s">
        <v>25</v>
      </c>
      <c r="C10" s="16" t="s">
        <v>39</v>
      </c>
      <c r="D10" s="17" t="n">
        <v>4.8543</v>
      </c>
      <c r="E10" s="17" t="n">
        <v>1.4534</v>
      </c>
      <c r="F10" s="17" t="n">
        <v>1.743</v>
      </c>
      <c r="G10" s="17" t="n">
        <v>0.7738</v>
      </c>
      <c r="H10" s="17" t="n">
        <v>0.9343</v>
      </c>
      <c r="I10" s="17" t="n">
        <v>13.9764</v>
      </c>
      <c r="J10" s="17" t="n">
        <v>4.7981</v>
      </c>
      <c r="K10" s="17" t="n">
        <v>4.4298</v>
      </c>
      <c r="L10" s="17" t="n">
        <v>0.3656</v>
      </c>
      <c r="M10" s="17" t="n">
        <v>2.9324</v>
      </c>
      <c r="N10" s="17" t="n">
        <v>5.0891</v>
      </c>
      <c r="O10" s="17" t="n">
        <v>3.8692</v>
      </c>
      <c r="P10" s="17" t="n">
        <v>6.7486</v>
      </c>
      <c r="Q10" s="17" t="n">
        <v>6.9297</v>
      </c>
      <c r="R10" s="17" t="n">
        <v>98.8969</v>
      </c>
      <c r="S10" s="17" t="n">
        <v>35.9847</v>
      </c>
      <c r="T10" s="16" t="s">
        <v>47</v>
      </c>
      <c r="U10" s="18" t="s">
        <v>28</v>
      </c>
      <c r="V10" s="19" t="s">
        <v>45</v>
      </c>
    </row>
    <row r="11" customFormat="false" ht="15.75" hidden="false" customHeight="true" outlineLevel="0" collapsed="false">
      <c r="A11" s="20" t="s">
        <v>48</v>
      </c>
      <c r="B11" s="21" t="s">
        <v>25</v>
      </c>
      <c r="C11" s="21" t="s">
        <v>26</v>
      </c>
      <c r="D11" s="22" t="n">
        <v>1.6381</v>
      </c>
      <c r="E11" s="22" t="n">
        <v>3.2837</v>
      </c>
      <c r="F11" s="22" t="n">
        <v>1.1532</v>
      </c>
      <c r="G11" s="22" t="n">
        <v>0.825</v>
      </c>
      <c r="H11" s="22" t="n">
        <v>0.5523</v>
      </c>
      <c r="I11" s="22" t="n">
        <v>15.9811</v>
      </c>
      <c r="J11" s="22" t="n">
        <v>6.602</v>
      </c>
      <c r="K11" s="22" t="n">
        <v>3.9108</v>
      </c>
      <c r="L11" s="22" t="n">
        <v>0.7539</v>
      </c>
      <c r="M11" s="22" t="n">
        <v>4.2143</v>
      </c>
      <c r="N11" s="22" t="n">
        <v>4.8874</v>
      </c>
      <c r="O11" s="22" t="n">
        <v>4.1103</v>
      </c>
      <c r="P11" s="22" t="n">
        <v>6.3708</v>
      </c>
      <c r="Q11" s="22" t="n">
        <v>12.1625</v>
      </c>
      <c r="R11" s="22" t="n">
        <v>22.3397</v>
      </c>
      <c r="S11" s="22" t="n">
        <v>55.2867</v>
      </c>
      <c r="T11" s="21" t="s">
        <v>49</v>
      </c>
      <c r="U11" s="23" t="s">
        <v>32</v>
      </c>
      <c r="V11" s="24" t="s">
        <v>33</v>
      </c>
    </row>
    <row r="12" customFormat="false" ht="15.75" hidden="false" customHeight="true" outlineLevel="0" collapsed="false">
      <c r="A12" s="15" t="s">
        <v>50</v>
      </c>
      <c r="B12" s="16" t="s">
        <v>35</v>
      </c>
      <c r="C12" s="16" t="s">
        <v>39</v>
      </c>
      <c r="D12" s="17" t="n">
        <v>4.2101</v>
      </c>
      <c r="E12" s="17" t="n">
        <v>3.1602</v>
      </c>
      <c r="F12" s="17" t="n">
        <v>1.4287</v>
      </c>
      <c r="G12" s="17" t="n">
        <v>0.6967</v>
      </c>
      <c r="H12" s="17" t="n">
        <v>0.889</v>
      </c>
      <c r="I12" s="17" t="n">
        <v>15.1208</v>
      </c>
      <c r="J12" s="17" t="n">
        <v>5.4071</v>
      </c>
      <c r="K12" s="17" t="n">
        <v>2.8806</v>
      </c>
      <c r="L12" s="17" t="n">
        <v>0.2868</v>
      </c>
      <c r="M12" s="17" t="n">
        <v>2.4494</v>
      </c>
      <c r="N12" s="17" t="n">
        <v>1.1827</v>
      </c>
      <c r="O12" s="17" t="n">
        <v>3.3168</v>
      </c>
      <c r="P12" s="17" t="n">
        <v>6.121</v>
      </c>
      <c r="Q12" s="17" t="n">
        <v>18.5766</v>
      </c>
      <c r="R12" s="17" t="n">
        <v>42.0201</v>
      </c>
      <c r="S12" s="17" t="n">
        <v>36.6268</v>
      </c>
      <c r="T12" s="16" t="s">
        <v>51</v>
      </c>
      <c r="U12" s="18" t="s">
        <v>37</v>
      </c>
      <c r="V12" s="19" t="s">
        <v>33</v>
      </c>
    </row>
    <row r="13" customFormat="false" ht="15.75" hidden="false" customHeight="true" outlineLevel="0" collapsed="false">
      <c r="A13" s="10" t="s">
        <v>52</v>
      </c>
      <c r="B13" s="11" t="s">
        <v>25</v>
      </c>
      <c r="C13" s="11" t="s">
        <v>26</v>
      </c>
      <c r="D13" s="12" t="n">
        <v>0.9688</v>
      </c>
      <c r="E13" s="12" t="n">
        <v>2.1156</v>
      </c>
      <c r="F13" s="12" t="n">
        <v>2.5419</v>
      </c>
      <c r="G13" s="12" t="n">
        <v>0.3987</v>
      </c>
      <c r="H13" s="12" t="n">
        <v>1.6397</v>
      </c>
      <c r="I13" s="12" t="n">
        <v>16.918</v>
      </c>
      <c r="J13" s="12" t="n">
        <v>5.3213</v>
      </c>
      <c r="K13" s="12" t="n">
        <v>3.7619</v>
      </c>
      <c r="L13" s="12" t="n">
        <v>0.3958</v>
      </c>
      <c r="M13" s="12" t="n">
        <v>2.9125</v>
      </c>
      <c r="N13" s="12" t="n">
        <v>5.087</v>
      </c>
      <c r="O13" s="12" t="n">
        <v>3.3235</v>
      </c>
      <c r="P13" s="12" t="n">
        <v>6.5674</v>
      </c>
      <c r="Q13" s="12" t="n">
        <v>14.7006</v>
      </c>
      <c r="R13" s="12" t="n">
        <v>49.428</v>
      </c>
      <c r="S13" s="12" t="n">
        <v>55.8636</v>
      </c>
      <c r="T13" s="11" t="s">
        <v>53</v>
      </c>
      <c r="U13" s="13" t="s">
        <v>41</v>
      </c>
      <c r="V13" s="14" t="s">
        <v>29</v>
      </c>
    </row>
    <row r="14" customFormat="false" ht="15.75" hidden="false" customHeight="true" outlineLevel="0" collapsed="false">
      <c r="A14" s="15" t="s">
        <v>54</v>
      </c>
      <c r="B14" s="16" t="s">
        <v>25</v>
      </c>
      <c r="C14" s="16" t="s">
        <v>39</v>
      </c>
      <c r="D14" s="17" t="n">
        <v>2.6529</v>
      </c>
      <c r="E14" s="17" t="n">
        <v>2.0243</v>
      </c>
      <c r="F14" s="17" t="n">
        <v>2.368</v>
      </c>
      <c r="G14" s="17" t="n">
        <v>0.4594</v>
      </c>
      <c r="H14" s="17" t="n">
        <v>0.67</v>
      </c>
      <c r="I14" s="17" t="n">
        <v>17.0888</v>
      </c>
      <c r="J14" s="17" t="n">
        <v>5.3755</v>
      </c>
      <c r="K14" s="17" t="n">
        <v>4.3404</v>
      </c>
      <c r="L14" s="17" t="n">
        <v>0.6757</v>
      </c>
      <c r="M14" s="17" t="n">
        <v>4.1126</v>
      </c>
      <c r="N14" s="17" t="n">
        <v>4.7616</v>
      </c>
      <c r="O14" s="17" t="n">
        <v>3.9673</v>
      </c>
      <c r="P14" s="17" t="n">
        <v>6.8161</v>
      </c>
      <c r="Q14" s="17" t="n">
        <v>4.4272</v>
      </c>
      <c r="R14" s="17" t="n">
        <v>25.1055</v>
      </c>
      <c r="S14" s="17" t="n">
        <v>49.9663</v>
      </c>
      <c r="T14" s="16" t="s">
        <v>55</v>
      </c>
      <c r="U14" s="18" t="s">
        <v>44</v>
      </c>
      <c r="V14" s="19" t="s">
        <v>45</v>
      </c>
    </row>
    <row r="15" customFormat="false" ht="15.75" hidden="false" customHeight="true" outlineLevel="0" collapsed="false">
      <c r="A15" s="10" t="s">
        <v>56</v>
      </c>
      <c r="B15" s="11" t="s">
        <v>25</v>
      </c>
      <c r="C15" s="11" t="s">
        <v>26</v>
      </c>
      <c r="D15" s="12" t="n">
        <v>3.319</v>
      </c>
      <c r="E15" s="12" t="n">
        <v>4.2466</v>
      </c>
      <c r="F15" s="12" t="n">
        <v>0.4938</v>
      </c>
      <c r="G15" s="12" t="n">
        <v>0.2867</v>
      </c>
      <c r="H15" s="11" t="n">
        <v>0</v>
      </c>
      <c r="I15" s="12" t="n">
        <v>15.1756</v>
      </c>
      <c r="J15" s="12" t="n">
        <v>5.0187</v>
      </c>
      <c r="K15" s="12" t="n">
        <v>3.6526</v>
      </c>
      <c r="L15" s="12" t="n">
        <v>0.1877</v>
      </c>
      <c r="M15" s="12" t="n">
        <v>3.6597</v>
      </c>
      <c r="N15" s="12" t="n">
        <v>9.1655</v>
      </c>
      <c r="O15" s="12" t="n">
        <v>4.1713</v>
      </c>
      <c r="P15" s="12" t="n">
        <v>6.505</v>
      </c>
      <c r="Q15" s="12" t="n">
        <v>1.4492</v>
      </c>
      <c r="R15" s="12" t="n">
        <v>87.9439</v>
      </c>
      <c r="S15" s="12" t="n">
        <v>63.8698</v>
      </c>
      <c r="T15" s="11" t="s">
        <v>57</v>
      </c>
      <c r="U15" s="13" t="s">
        <v>28</v>
      </c>
      <c r="V15" s="14" t="s">
        <v>29</v>
      </c>
    </row>
    <row r="16" customFormat="false" ht="15.75" hidden="false" customHeight="true" outlineLevel="0" collapsed="false">
      <c r="A16" s="15" t="s">
        <v>58</v>
      </c>
      <c r="B16" s="16" t="s">
        <v>25</v>
      </c>
      <c r="C16" s="16" t="s">
        <v>39</v>
      </c>
      <c r="D16" s="17" t="n">
        <v>2.3768</v>
      </c>
      <c r="E16" s="17" t="n">
        <v>2.1699</v>
      </c>
      <c r="F16" s="17" t="n">
        <v>2.0711</v>
      </c>
      <c r="G16" s="17" t="n">
        <v>0.1822</v>
      </c>
      <c r="H16" s="17" t="n">
        <v>1.7609</v>
      </c>
      <c r="I16" s="17" t="n">
        <v>13.5692</v>
      </c>
      <c r="J16" s="17" t="n">
        <v>2.8532</v>
      </c>
      <c r="K16" s="17" t="n">
        <v>3.5497</v>
      </c>
      <c r="L16" s="17" t="n">
        <v>0.0142</v>
      </c>
      <c r="M16" s="17" t="n">
        <v>4.1063</v>
      </c>
      <c r="N16" s="17" t="n">
        <v>10.4082</v>
      </c>
      <c r="O16" s="17" t="n">
        <v>3.9349</v>
      </c>
      <c r="P16" s="17" t="n">
        <v>6.2628</v>
      </c>
      <c r="Q16" s="17" t="n">
        <v>6.4396</v>
      </c>
      <c r="R16" s="17" t="n">
        <v>19.6572</v>
      </c>
      <c r="S16" s="17" t="n">
        <v>40.4499</v>
      </c>
      <c r="T16" s="16" t="s">
        <v>59</v>
      </c>
      <c r="U16" s="18" t="s">
        <v>32</v>
      </c>
      <c r="V16" s="19" t="s">
        <v>33</v>
      </c>
    </row>
    <row r="17" customFormat="false" ht="15.75" hidden="false" customHeight="true" outlineLevel="0" collapsed="false">
      <c r="A17" s="20" t="s">
        <v>60</v>
      </c>
      <c r="B17" s="21" t="s">
        <v>35</v>
      </c>
      <c r="C17" s="21" t="s">
        <v>26</v>
      </c>
      <c r="D17" s="22" t="n">
        <v>4.9146</v>
      </c>
      <c r="E17" s="22" t="n">
        <v>4.8378</v>
      </c>
      <c r="F17" s="22" t="n">
        <v>0.741</v>
      </c>
      <c r="G17" s="22" t="n">
        <v>0.7211</v>
      </c>
      <c r="H17" s="22" t="n">
        <v>0.454</v>
      </c>
      <c r="I17" s="22" t="n">
        <v>14.7039</v>
      </c>
      <c r="J17" s="22" t="n">
        <v>7.3681</v>
      </c>
      <c r="K17" s="22" t="n">
        <v>4.0316</v>
      </c>
      <c r="L17" s="22" t="n">
        <v>0.5563</v>
      </c>
      <c r="M17" s="22" t="n">
        <v>3.671</v>
      </c>
      <c r="N17" s="22" t="n">
        <v>9.2193</v>
      </c>
      <c r="O17" s="22" t="n">
        <v>3.2207</v>
      </c>
      <c r="P17" s="22" t="n">
        <v>6.5436</v>
      </c>
      <c r="Q17" s="22" t="n">
        <v>11.694</v>
      </c>
      <c r="R17" s="22" t="n">
        <v>80.1147</v>
      </c>
      <c r="S17" s="22" t="n">
        <v>43.164</v>
      </c>
      <c r="T17" s="21" t="s">
        <v>61</v>
      </c>
      <c r="U17" s="23" t="s">
        <v>37</v>
      </c>
      <c r="V17" s="24" t="s">
        <v>33</v>
      </c>
    </row>
    <row r="18" customFormat="false" ht="15.75" hidden="false" customHeight="true" outlineLevel="0" collapsed="false">
      <c r="A18" s="15" t="s">
        <v>62</v>
      </c>
      <c r="B18" s="16" t="s">
        <v>25</v>
      </c>
      <c r="C18" s="16" t="s">
        <v>26</v>
      </c>
      <c r="D18" s="17" t="n">
        <v>1.2383</v>
      </c>
      <c r="E18" s="17" t="n">
        <v>4.5102</v>
      </c>
      <c r="F18" s="17" t="n">
        <v>0.3494</v>
      </c>
      <c r="G18" s="17" t="n">
        <v>0.4049</v>
      </c>
      <c r="H18" s="17" t="n">
        <v>1.441</v>
      </c>
      <c r="I18" s="17" t="n">
        <v>15.402</v>
      </c>
      <c r="J18" s="17" t="n">
        <v>7.3094</v>
      </c>
      <c r="K18" s="17" t="n">
        <v>1.8182</v>
      </c>
      <c r="L18" s="17" t="n">
        <v>0.3689</v>
      </c>
      <c r="M18" s="17" t="n">
        <v>3.1896</v>
      </c>
      <c r="N18" s="17" t="n">
        <v>9.8763</v>
      </c>
      <c r="O18" s="17" t="n">
        <v>3.1469</v>
      </c>
      <c r="P18" s="17" t="n">
        <v>6.6441</v>
      </c>
      <c r="Q18" s="17" t="n">
        <v>11.8974</v>
      </c>
      <c r="R18" s="17" t="n">
        <v>83.1218</v>
      </c>
      <c r="S18" s="17" t="n">
        <v>33.2289</v>
      </c>
      <c r="T18" s="16" t="s">
        <v>63</v>
      </c>
      <c r="U18" s="18" t="s">
        <v>41</v>
      </c>
      <c r="V18" s="19" t="s">
        <v>33</v>
      </c>
    </row>
    <row r="19" customFormat="false" ht="15.75" hidden="false" customHeight="true" outlineLevel="0" collapsed="false">
      <c r="A19" s="20" t="s">
        <v>64</v>
      </c>
      <c r="B19" s="21" t="s">
        <v>35</v>
      </c>
      <c r="C19" s="21" t="s">
        <v>26</v>
      </c>
      <c r="D19" s="22" t="n">
        <v>3.307</v>
      </c>
      <c r="E19" s="22" t="n">
        <v>3.4858</v>
      </c>
      <c r="F19" s="21" t="n">
        <v>0</v>
      </c>
      <c r="G19" s="22" t="n">
        <v>0.4548</v>
      </c>
      <c r="H19" s="22" t="n">
        <v>0.0305</v>
      </c>
      <c r="I19" s="22" t="n">
        <v>12.3518</v>
      </c>
      <c r="J19" s="22" t="n">
        <v>7.5098</v>
      </c>
      <c r="K19" s="22" t="n">
        <v>4.0268</v>
      </c>
      <c r="L19" s="22" t="n">
        <v>0.4449</v>
      </c>
      <c r="M19" s="22" t="n">
        <v>4.1182</v>
      </c>
      <c r="N19" s="22" t="n">
        <v>4.1999</v>
      </c>
      <c r="O19" s="22" t="n">
        <v>3.5912</v>
      </c>
      <c r="P19" s="22" t="n">
        <v>6.2422</v>
      </c>
      <c r="Q19" s="22" t="n">
        <v>23.3636</v>
      </c>
      <c r="R19" s="22" t="n">
        <v>49.8111</v>
      </c>
      <c r="S19" s="22" t="n">
        <v>38.811</v>
      </c>
      <c r="T19" s="21" t="s">
        <v>65</v>
      </c>
      <c r="U19" s="23" t="s">
        <v>44</v>
      </c>
      <c r="V19" s="24" t="s">
        <v>66</v>
      </c>
    </row>
    <row r="20" customFormat="false" ht="15.75" hidden="false" customHeight="true" outlineLevel="0" collapsed="false">
      <c r="A20" s="15" t="s">
        <v>67</v>
      </c>
      <c r="B20" s="16" t="s">
        <v>35</v>
      </c>
      <c r="C20" s="16" t="s">
        <v>26</v>
      </c>
      <c r="D20" s="17" t="n">
        <v>3.4326</v>
      </c>
      <c r="E20" s="17" t="n">
        <v>3.3459</v>
      </c>
      <c r="F20" s="17" t="n">
        <v>1.6952</v>
      </c>
      <c r="G20" s="17" t="n">
        <v>0.773</v>
      </c>
      <c r="H20" s="17" t="n">
        <v>1.5212</v>
      </c>
      <c r="I20" s="17" t="n">
        <v>12.9709</v>
      </c>
      <c r="J20" s="17" t="n">
        <v>8.8973</v>
      </c>
      <c r="K20" s="17" t="n">
        <v>3.7261</v>
      </c>
      <c r="L20" s="17" t="n">
        <v>0.4144</v>
      </c>
      <c r="M20" s="17" t="n">
        <v>1.6397</v>
      </c>
      <c r="N20" s="17" t="n">
        <v>2.5207</v>
      </c>
      <c r="O20" s="17" t="n">
        <v>3.9296</v>
      </c>
      <c r="P20" s="17" t="n">
        <v>6.4274</v>
      </c>
      <c r="Q20" s="17" t="n">
        <v>9.5024</v>
      </c>
      <c r="R20" s="17" t="n">
        <v>88.9232</v>
      </c>
      <c r="S20" s="17" t="n">
        <v>45.5964</v>
      </c>
      <c r="T20" s="16" t="s">
        <v>68</v>
      </c>
      <c r="U20" s="18" t="s">
        <v>28</v>
      </c>
      <c r="V20" s="19" t="s">
        <v>45</v>
      </c>
    </row>
    <row r="21" customFormat="false" ht="15.75" hidden="false" customHeight="true" outlineLevel="0" collapsed="false">
      <c r="A21" s="20" t="s">
        <v>69</v>
      </c>
      <c r="B21" s="21" t="s">
        <v>35</v>
      </c>
      <c r="C21" s="21" t="s">
        <v>39</v>
      </c>
      <c r="D21" s="22" t="n">
        <v>5.3755</v>
      </c>
      <c r="E21" s="22" t="n">
        <v>2.7225</v>
      </c>
      <c r="F21" s="22" t="n">
        <v>2.2435</v>
      </c>
      <c r="G21" s="21" t="n">
        <v>0</v>
      </c>
      <c r="H21" s="22" t="n">
        <v>0.9539</v>
      </c>
      <c r="I21" s="22" t="n">
        <v>15.4007</v>
      </c>
      <c r="J21" s="22" t="n">
        <v>5.6615</v>
      </c>
      <c r="K21" s="22" t="n">
        <v>4.436</v>
      </c>
      <c r="L21" s="22" t="n">
        <v>0.2946</v>
      </c>
      <c r="M21" s="22" t="n">
        <v>4.0826</v>
      </c>
      <c r="N21" s="22" t="n">
        <v>0.3892</v>
      </c>
      <c r="O21" s="22" t="n">
        <v>3.6113</v>
      </c>
      <c r="P21" s="22" t="n">
        <v>5.9006</v>
      </c>
      <c r="Q21" s="22" t="n">
        <v>17.4155</v>
      </c>
      <c r="R21" s="22" t="n">
        <v>43.6884</v>
      </c>
      <c r="S21" s="22" t="n">
        <v>37.5143</v>
      </c>
      <c r="T21" s="21" t="s">
        <v>70</v>
      </c>
      <c r="U21" s="23" t="s">
        <v>32</v>
      </c>
      <c r="V21" s="24" t="s">
        <v>33</v>
      </c>
    </row>
    <row r="22" customFormat="false" ht="15.75" hidden="false" customHeight="true" outlineLevel="0" collapsed="false">
      <c r="A22" s="15" t="s">
        <v>71</v>
      </c>
      <c r="B22" s="16" t="s">
        <v>35</v>
      </c>
      <c r="C22" s="16" t="s">
        <v>26</v>
      </c>
      <c r="D22" s="17" t="n">
        <v>3.0153</v>
      </c>
      <c r="E22" s="17" t="n">
        <v>3.948</v>
      </c>
      <c r="F22" s="16" t="n">
        <v>0</v>
      </c>
      <c r="G22" s="17" t="n">
        <v>0.7613</v>
      </c>
      <c r="H22" s="17" t="n">
        <v>0.9062</v>
      </c>
      <c r="I22" s="17" t="n">
        <v>11.7477</v>
      </c>
      <c r="J22" s="17" t="n">
        <v>7.0529</v>
      </c>
      <c r="K22" s="17" t="n">
        <v>3.7603</v>
      </c>
      <c r="L22" s="17" t="n">
        <v>0.6199</v>
      </c>
      <c r="M22" s="17" t="n">
        <v>2.4872</v>
      </c>
      <c r="N22" s="17" t="n">
        <v>4.2576</v>
      </c>
      <c r="O22" s="17" t="n">
        <v>3.8157</v>
      </c>
      <c r="P22" s="17" t="n">
        <v>6.3166</v>
      </c>
      <c r="Q22" s="17" t="n">
        <v>9.2125</v>
      </c>
      <c r="R22" s="17" t="n">
        <v>90.4803</v>
      </c>
      <c r="S22" s="17" t="n">
        <v>36.5954</v>
      </c>
      <c r="T22" s="16" t="s">
        <v>72</v>
      </c>
      <c r="U22" s="18" t="s">
        <v>37</v>
      </c>
      <c r="V22" s="19" t="s">
        <v>33</v>
      </c>
    </row>
    <row r="23" customFormat="false" ht="15.75" hidden="false" customHeight="true" outlineLevel="0" collapsed="false">
      <c r="A23" s="20" t="s">
        <v>73</v>
      </c>
      <c r="B23" s="21" t="s">
        <v>25</v>
      </c>
      <c r="C23" s="21" t="s">
        <v>39</v>
      </c>
      <c r="D23" s="22" t="n">
        <v>3.3845</v>
      </c>
      <c r="E23" s="22" t="n">
        <v>2.1206</v>
      </c>
      <c r="F23" s="22" t="n">
        <v>1.6602</v>
      </c>
      <c r="G23" s="22" t="n">
        <v>0.9752</v>
      </c>
      <c r="H23" s="22" t="n">
        <v>1.0216</v>
      </c>
      <c r="I23" s="22" t="n">
        <v>15.9297</v>
      </c>
      <c r="J23" s="22" t="n">
        <v>5.2349</v>
      </c>
      <c r="K23" s="22" t="n">
        <v>4.0257</v>
      </c>
      <c r="L23" s="22" t="n">
        <v>0.563</v>
      </c>
      <c r="M23" s="22" t="n">
        <v>2.5773</v>
      </c>
      <c r="N23" s="22" t="n">
        <v>8.9823</v>
      </c>
      <c r="O23" s="22" t="n">
        <v>3.2032</v>
      </c>
      <c r="P23" s="22" t="n">
        <v>7.0098</v>
      </c>
      <c r="Q23" s="22" t="n">
        <v>14.8363</v>
      </c>
      <c r="R23" s="22" t="n">
        <v>40.603</v>
      </c>
      <c r="S23" s="22" t="n">
        <v>46.8225</v>
      </c>
      <c r="T23" s="21" t="s">
        <v>74</v>
      </c>
      <c r="U23" s="23" t="s">
        <v>41</v>
      </c>
      <c r="V23" s="24" t="s">
        <v>45</v>
      </c>
    </row>
    <row r="24" customFormat="false" ht="15.75" hidden="false" customHeight="true" outlineLevel="0" collapsed="false">
      <c r="A24" s="15" t="s">
        <v>75</v>
      </c>
      <c r="B24" s="16" t="s">
        <v>25</v>
      </c>
      <c r="C24" s="16" t="s">
        <v>39</v>
      </c>
      <c r="D24" s="17" t="n">
        <v>4.7282</v>
      </c>
      <c r="E24" s="17" t="n">
        <v>2.5382</v>
      </c>
      <c r="F24" s="17" t="n">
        <v>1.5501</v>
      </c>
      <c r="G24" s="17" t="n">
        <v>0.2071</v>
      </c>
      <c r="H24" s="17" t="n">
        <v>0.8956</v>
      </c>
      <c r="I24" s="17" t="n">
        <v>10.4549</v>
      </c>
      <c r="J24" s="17" t="n">
        <v>6.8838</v>
      </c>
      <c r="K24" s="17" t="n">
        <v>3.0364</v>
      </c>
      <c r="L24" s="17" t="n">
        <v>0.1983</v>
      </c>
      <c r="M24" s="17" t="n">
        <v>3.1036</v>
      </c>
      <c r="N24" s="17" t="n">
        <v>2.7983</v>
      </c>
      <c r="O24" s="17" t="n">
        <v>3.9687</v>
      </c>
      <c r="P24" s="17" t="n">
        <v>6.3951</v>
      </c>
      <c r="Q24" s="17" t="n">
        <v>3.2005</v>
      </c>
      <c r="R24" s="17" t="n">
        <v>73.5791</v>
      </c>
      <c r="S24" s="17" t="n">
        <v>49.8384</v>
      </c>
      <c r="T24" s="16" t="s">
        <v>76</v>
      </c>
      <c r="U24" s="18" t="s">
        <v>44</v>
      </c>
      <c r="V24" s="19" t="s">
        <v>33</v>
      </c>
    </row>
    <row r="25" customFormat="false" ht="15.75" hidden="false" customHeight="true" outlineLevel="0" collapsed="false">
      <c r="A25" s="20" t="s">
        <v>77</v>
      </c>
      <c r="B25" s="21" t="s">
        <v>25</v>
      </c>
      <c r="C25" s="21" t="s">
        <v>26</v>
      </c>
      <c r="D25" s="22" t="n">
        <v>1.798</v>
      </c>
      <c r="E25" s="22" t="n">
        <v>2.9076</v>
      </c>
      <c r="F25" s="22" t="n">
        <v>0.6732</v>
      </c>
      <c r="G25" s="22" t="n">
        <v>0.4857</v>
      </c>
      <c r="H25" s="22" t="n">
        <v>1.4959</v>
      </c>
      <c r="I25" s="22" t="n">
        <v>10.7664</v>
      </c>
      <c r="J25" s="22" t="n">
        <v>4.6299</v>
      </c>
      <c r="K25" s="22" t="n">
        <v>4.6232</v>
      </c>
      <c r="L25" s="22" t="n">
        <v>0.3126</v>
      </c>
      <c r="M25" s="22" t="n">
        <v>3.5061</v>
      </c>
      <c r="N25" s="22" t="n">
        <v>9.7434</v>
      </c>
      <c r="O25" s="22" t="n">
        <v>3.9307</v>
      </c>
      <c r="P25" s="22" t="n">
        <v>6.4002</v>
      </c>
      <c r="Q25" s="22" t="n">
        <v>10.1718</v>
      </c>
      <c r="R25" s="22" t="n">
        <v>86.7506</v>
      </c>
      <c r="S25" s="22" t="n">
        <v>41.8122</v>
      </c>
      <c r="T25" s="21" t="s">
        <v>78</v>
      </c>
      <c r="U25" s="23" t="s">
        <v>28</v>
      </c>
      <c r="V25" s="24" t="s">
        <v>33</v>
      </c>
    </row>
    <row r="26" customFormat="false" ht="15.75" hidden="false" customHeight="true" outlineLevel="0" collapsed="false">
      <c r="A26" s="15" t="s">
        <v>79</v>
      </c>
      <c r="B26" s="16" t="s">
        <v>25</v>
      </c>
      <c r="C26" s="16" t="s">
        <v>39</v>
      </c>
      <c r="D26" s="17" t="n">
        <v>4.2085</v>
      </c>
      <c r="E26" s="17" t="n">
        <v>2.9502</v>
      </c>
      <c r="F26" s="17" t="n">
        <v>2.0576</v>
      </c>
      <c r="G26" s="17" t="n">
        <v>0.5011</v>
      </c>
      <c r="H26" s="17" t="n">
        <v>1.373</v>
      </c>
      <c r="I26" s="17" t="n">
        <v>12.8472</v>
      </c>
      <c r="J26" s="17" t="n">
        <v>6.342</v>
      </c>
      <c r="K26" s="17" t="n">
        <v>4.3086</v>
      </c>
      <c r="L26" s="17" t="n">
        <v>0.5896</v>
      </c>
      <c r="M26" s="17" t="n">
        <v>3.0979</v>
      </c>
      <c r="N26" s="17" t="n">
        <v>8.1176</v>
      </c>
      <c r="O26" s="17" t="n">
        <v>3.0418</v>
      </c>
      <c r="P26" s="17" t="n">
        <v>6.2721</v>
      </c>
      <c r="Q26" s="17" t="n">
        <v>19.0298</v>
      </c>
      <c r="R26" s="17" t="n">
        <v>66.7317</v>
      </c>
      <c r="S26" s="17" t="n">
        <v>41.6684</v>
      </c>
      <c r="T26" s="16" t="s">
        <v>80</v>
      </c>
      <c r="U26" s="18" t="s">
        <v>32</v>
      </c>
      <c r="V26" s="19" t="s">
        <v>45</v>
      </c>
    </row>
    <row r="27" customFormat="false" ht="15.75" hidden="false" customHeight="true" outlineLevel="0" collapsed="false">
      <c r="A27" s="20" t="s">
        <v>81</v>
      </c>
      <c r="B27" s="21" t="s">
        <v>25</v>
      </c>
      <c r="C27" s="21" t="s">
        <v>39</v>
      </c>
      <c r="D27" s="22" t="n">
        <v>2.9614</v>
      </c>
      <c r="E27" s="21" t="n">
        <v>0</v>
      </c>
      <c r="F27" s="22" t="n">
        <v>0.3854</v>
      </c>
      <c r="G27" s="22" t="n">
        <v>0.0265</v>
      </c>
      <c r="H27" s="22" t="n">
        <v>1.4423</v>
      </c>
      <c r="I27" s="22" t="n">
        <v>19.8751</v>
      </c>
      <c r="J27" s="22" t="n">
        <v>5.1326</v>
      </c>
      <c r="K27" s="22" t="n">
        <v>4.8172</v>
      </c>
      <c r="L27" s="22" t="n">
        <v>0.4054</v>
      </c>
      <c r="M27" s="22" t="n">
        <v>2.2227</v>
      </c>
      <c r="N27" s="22" t="n">
        <v>8.9273</v>
      </c>
      <c r="O27" s="22" t="n">
        <v>4.1239</v>
      </c>
      <c r="P27" s="22" t="n">
        <v>6.545</v>
      </c>
      <c r="Q27" s="22" t="n">
        <v>11.641</v>
      </c>
      <c r="R27" s="22" t="n">
        <v>64.8136</v>
      </c>
      <c r="S27" s="22" t="n">
        <v>27.9039</v>
      </c>
      <c r="T27" s="21" t="s">
        <v>82</v>
      </c>
      <c r="U27" s="23" t="s">
        <v>37</v>
      </c>
      <c r="V27" s="24" t="s">
        <v>33</v>
      </c>
    </row>
    <row r="28" customFormat="false" ht="15.75" hidden="false" customHeight="true" outlineLevel="0" collapsed="false">
      <c r="A28" s="15" t="s">
        <v>83</v>
      </c>
      <c r="B28" s="16" t="s">
        <v>35</v>
      </c>
      <c r="C28" s="16" t="s">
        <v>39</v>
      </c>
      <c r="D28" s="17" t="n">
        <v>5.5623</v>
      </c>
      <c r="E28" s="17" t="n">
        <v>3.3179</v>
      </c>
      <c r="F28" s="17" t="n">
        <v>2.1022</v>
      </c>
      <c r="G28" s="17" t="n">
        <v>0.643</v>
      </c>
      <c r="H28" s="17" t="n">
        <v>1.4429</v>
      </c>
      <c r="I28" s="17" t="n">
        <v>6.9945</v>
      </c>
      <c r="J28" s="17" t="n">
        <v>9.4826</v>
      </c>
      <c r="K28" s="17" t="n">
        <v>4.9262</v>
      </c>
      <c r="L28" s="17" t="n">
        <v>0.5495</v>
      </c>
      <c r="M28" s="17" t="n">
        <v>4.2489</v>
      </c>
      <c r="N28" s="17" t="n">
        <v>9.4395</v>
      </c>
      <c r="O28" s="17" t="n">
        <v>3.777</v>
      </c>
      <c r="P28" s="17" t="n">
        <v>6.7341</v>
      </c>
      <c r="Q28" s="17" t="n">
        <v>17.1064</v>
      </c>
      <c r="R28" s="17" t="n">
        <v>63.8651</v>
      </c>
      <c r="S28" s="17" t="n">
        <v>22.4245</v>
      </c>
      <c r="T28" s="16" t="s">
        <v>84</v>
      </c>
      <c r="U28" s="18" t="s">
        <v>41</v>
      </c>
      <c r="V28" s="19" t="s">
        <v>45</v>
      </c>
    </row>
    <row r="29" customFormat="false" ht="15.75" hidden="false" customHeight="true" outlineLevel="0" collapsed="false">
      <c r="A29" s="20" t="s">
        <v>85</v>
      </c>
      <c r="B29" s="21" t="s">
        <v>35</v>
      </c>
      <c r="C29" s="21" t="s">
        <v>39</v>
      </c>
      <c r="D29" s="22" t="n">
        <v>5.0641</v>
      </c>
      <c r="E29" s="22" t="n">
        <v>4.2834</v>
      </c>
      <c r="F29" s="22" t="n">
        <v>1.6839</v>
      </c>
      <c r="G29" s="22" t="n">
        <v>0.5786</v>
      </c>
      <c r="H29" s="22" t="n">
        <v>1.1885</v>
      </c>
      <c r="I29" s="22" t="n">
        <v>13.886</v>
      </c>
      <c r="J29" s="22" t="n">
        <v>4.8173</v>
      </c>
      <c r="K29" s="22" t="n">
        <v>3.8429</v>
      </c>
      <c r="L29" s="22" t="n">
        <v>0.3498</v>
      </c>
      <c r="M29" s="22" t="n">
        <v>2.7088</v>
      </c>
      <c r="N29" s="22" t="n">
        <v>6.0285</v>
      </c>
      <c r="O29" s="22" t="n">
        <v>3.8662</v>
      </c>
      <c r="P29" s="22" t="n">
        <v>6.5992</v>
      </c>
      <c r="Q29" s="22" t="n">
        <v>3.6201</v>
      </c>
      <c r="R29" s="22" t="n">
        <v>23.6212</v>
      </c>
      <c r="S29" s="22" t="n">
        <v>40.8724</v>
      </c>
      <c r="T29" s="21" t="s">
        <v>86</v>
      </c>
      <c r="U29" s="23" t="s">
        <v>44</v>
      </c>
      <c r="V29" s="24" t="s">
        <v>33</v>
      </c>
    </row>
    <row r="30" customFormat="false" ht="18" hidden="false" customHeight="true" outlineLevel="0" collapsed="false">
      <c r="A30" s="25" t="s">
        <v>87</v>
      </c>
      <c r="B30" s="25"/>
      <c r="C30" s="25"/>
      <c r="D30" s="26" t="n">
        <f aca="false">AVERAGE(D5:D29)</f>
        <v>3.267244</v>
      </c>
      <c r="E30" s="26" t="n">
        <f aca="false">AVERAGE(E5:E29)</f>
        <v>3.03142</v>
      </c>
      <c r="F30" s="26" t="n">
        <f aca="false">AVERAGE(F5:F29)</f>
        <v>1.337904</v>
      </c>
      <c r="G30" s="26" t="n">
        <f aca="false">AVERAGE(G5:G29)</f>
        <v>0.459128</v>
      </c>
      <c r="H30" s="26" t="n">
        <f aca="false">AVERAGE(H5:H29)</f>
        <v>1.048804</v>
      </c>
      <c r="I30" s="26" t="n">
        <f aca="false">AVERAGE(I5:I29)</f>
        <v>13.771892</v>
      </c>
      <c r="J30" s="26" t="n">
        <f aca="false">AVERAGE(J5:J29)</f>
        <v>6.071956</v>
      </c>
      <c r="K30" s="26" t="n">
        <f aca="false">AVERAGE(K5:K29)</f>
        <v>4.023612</v>
      </c>
      <c r="L30" s="26" t="n">
        <f aca="false">AVERAGE(L5:L29)</f>
        <v>0.429888</v>
      </c>
      <c r="M30" s="26" t="n">
        <f aca="false">AVERAGE(M5:M29)</f>
        <v>3.239452</v>
      </c>
      <c r="N30" s="26" t="n">
        <f aca="false">AVERAGE(N5:N29)</f>
        <v>6.438876</v>
      </c>
      <c r="O30" s="26" t="n">
        <f aca="false">AVERAGE(O5:O29)</f>
        <v>3.666756</v>
      </c>
      <c r="P30" s="26" t="n">
        <f aca="false">AVERAGE(P5:P29)</f>
        <v>6.519716</v>
      </c>
      <c r="Q30" s="26" t="n">
        <f aca="false">AVERAGE(Q5:Q29)</f>
        <v>11.304864</v>
      </c>
      <c r="R30" s="26" t="n">
        <f aca="false">AVERAGE(R5:R29)</f>
        <v>60.373116</v>
      </c>
      <c r="S30" s="26" t="n">
        <f aca="false">AVERAGE(S5:S29)</f>
        <v>42.892852</v>
      </c>
    </row>
  </sheetData>
  <mergeCells count="4">
    <mergeCell ref="A1:V1"/>
    <mergeCell ref="A2:V2"/>
    <mergeCell ref="A3:V3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8"/>
    <col collapsed="false" customWidth="true" hidden="false" outlineLevel="0" max="11" min="10" style="0" width="9"/>
    <col collapsed="false" customWidth="true" hidden="false" outlineLevel="0" max="12" min="12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8" min="18" style="0" width="8"/>
    <col collapsed="false" customWidth="true" hidden="false" outlineLevel="0" max="20" min="19" style="0" width="9"/>
    <col collapsed="false" customWidth="true" hidden="false" outlineLevel="0" max="21" min="21" style="0" width="8"/>
    <col collapsed="false" customWidth="true" hidden="false" outlineLevel="0" max="23" min="22" style="0" width="9"/>
    <col collapsed="false" customWidth="true" hidden="false" outlineLevel="0" max="24" min="24" style="0" width="8"/>
    <col collapsed="false" customWidth="true" hidden="false" outlineLevel="0" max="26" min="25" style="0" width="9"/>
    <col collapsed="false" customWidth="true" hidden="false" outlineLevel="0" max="27" min="27" style="0" width="8"/>
    <col collapsed="false" customWidth="true" hidden="false" outlineLevel="0" max="28" min="28" style="0" width="14"/>
    <col collapsed="false" customWidth="true" hidden="false" outlineLevel="0" max="29" min="29" style="0" width="12"/>
  </cols>
  <sheetData>
    <row r="1" customFormat="false" ht="25.5" hidden="false" customHeight="true" outlineLevel="0" collapsed="false">
      <c r="A1" s="27" t="s">
        <v>88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</row>
    <row r="2" customFormat="false" ht="15.75" hidden="false" customHeight="true" outlineLevel="0" collapsed="false">
      <c r="A2" s="28" t="s">
        <v>89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</row>
    <row r="3" customFormat="false" ht="31.5" hidden="false" customHeight="true" outlineLevel="0" collapsed="false">
      <c r="A3" s="29" t="s">
        <v>2</v>
      </c>
      <c r="B3" s="29" t="s">
        <v>3</v>
      </c>
      <c r="C3" s="29" t="s">
        <v>90</v>
      </c>
      <c r="D3" s="30" t="s">
        <v>91</v>
      </c>
      <c r="E3" s="31" t="s">
        <v>92</v>
      </c>
      <c r="F3" s="32" t="s">
        <v>93</v>
      </c>
      <c r="G3" s="30" t="s">
        <v>94</v>
      </c>
      <c r="H3" s="31" t="s">
        <v>95</v>
      </c>
      <c r="I3" s="32" t="s">
        <v>96</v>
      </c>
      <c r="J3" s="30" t="s">
        <v>97</v>
      </c>
      <c r="K3" s="31" t="s">
        <v>98</v>
      </c>
      <c r="L3" s="32" t="s">
        <v>99</v>
      </c>
      <c r="M3" s="30" t="s">
        <v>100</v>
      </c>
      <c r="N3" s="31" t="s">
        <v>101</v>
      </c>
      <c r="O3" s="32" t="s">
        <v>102</v>
      </c>
      <c r="P3" s="30" t="s">
        <v>103</v>
      </c>
      <c r="Q3" s="31" t="s">
        <v>104</v>
      </c>
      <c r="R3" s="32" t="s">
        <v>105</v>
      </c>
      <c r="S3" s="30" t="s">
        <v>106</v>
      </c>
      <c r="T3" s="31" t="s">
        <v>107</v>
      </c>
      <c r="U3" s="32" t="s">
        <v>108</v>
      </c>
      <c r="V3" s="30" t="s">
        <v>109</v>
      </c>
      <c r="W3" s="31" t="s">
        <v>110</v>
      </c>
      <c r="X3" s="32" t="s">
        <v>111</v>
      </c>
      <c r="Y3" s="30" t="s">
        <v>112</v>
      </c>
      <c r="Z3" s="31" t="s">
        <v>113</v>
      </c>
      <c r="AA3" s="32" t="s">
        <v>114</v>
      </c>
      <c r="AB3" s="33" t="s">
        <v>115</v>
      </c>
      <c r="AC3" s="33" t="s">
        <v>116</v>
      </c>
    </row>
    <row r="4" customFormat="false" ht="13.5" hidden="false" customHeight="true" outlineLevel="0" collapsed="false">
      <c r="A4" s="34" t="s">
        <v>24</v>
      </c>
      <c r="B4" s="35" t="s">
        <v>25</v>
      </c>
      <c r="C4" s="35" t="s">
        <v>26</v>
      </c>
      <c r="D4" s="36" t="n">
        <v>1.49</v>
      </c>
      <c r="E4" s="37" t="n">
        <v>1.5218</v>
      </c>
      <c r="F4" s="38" t="n">
        <v>0.0318000000000001</v>
      </c>
      <c r="G4" s="36" t="n">
        <v>3.21</v>
      </c>
      <c r="H4" s="37" t="n">
        <v>3.2581</v>
      </c>
      <c r="I4" s="38" t="n">
        <v>0.0481000000000003</v>
      </c>
      <c r="J4" s="36" t="n">
        <v>1.04</v>
      </c>
      <c r="K4" s="37" t="n">
        <v>1.0154</v>
      </c>
      <c r="L4" s="38" t="n">
        <v>0.0246</v>
      </c>
      <c r="M4" s="36" t="n">
        <v>0.08</v>
      </c>
      <c r="N4" s="37" t="n">
        <v>0.0081</v>
      </c>
      <c r="O4" s="38" t="n">
        <v>0.0719</v>
      </c>
      <c r="P4" s="36" t="n">
        <v>0.34</v>
      </c>
      <c r="Q4" s="37" t="n">
        <v>0.0652</v>
      </c>
      <c r="R4" s="38" t="n">
        <v>0.2748</v>
      </c>
      <c r="S4" s="36" t="n">
        <v>16.3706193616768</v>
      </c>
      <c r="T4" s="37" t="n">
        <v>16.8912</v>
      </c>
      <c r="U4" s="38" t="n">
        <v>0.520580638323182</v>
      </c>
      <c r="V4" s="36" t="n">
        <v>2.66</v>
      </c>
      <c r="W4" s="37" t="n">
        <v>2.6715</v>
      </c>
      <c r="X4" s="38" t="n">
        <v>0.0114999999999998</v>
      </c>
      <c r="Y4" s="36" t="n">
        <v>9.88</v>
      </c>
      <c r="Z4" s="37" t="n">
        <v>8.9247</v>
      </c>
      <c r="AA4" s="38" t="n">
        <v>0.955300000000001</v>
      </c>
      <c r="AB4" s="39" t="s">
        <v>117</v>
      </c>
      <c r="AC4" s="40" t="s">
        <v>118</v>
      </c>
    </row>
    <row r="5" customFormat="false" ht="13.5" hidden="false" customHeight="true" outlineLevel="0" collapsed="false">
      <c r="A5" s="41" t="s">
        <v>30</v>
      </c>
      <c r="B5" s="42" t="s">
        <v>25</v>
      </c>
      <c r="C5" s="42" t="s">
        <v>26</v>
      </c>
      <c r="D5" s="43" t="n">
        <v>1.5</v>
      </c>
      <c r="E5" s="44" t="n">
        <v>1.2905</v>
      </c>
      <c r="F5" s="38" t="n">
        <v>0.2095</v>
      </c>
      <c r="G5" s="43" t="n">
        <v>2.16</v>
      </c>
      <c r="H5" s="44" t="n">
        <v>2.1608</v>
      </c>
      <c r="I5" s="38" t="n">
        <v>0.000799999999999912</v>
      </c>
      <c r="J5" s="43" t="n">
        <v>1.2</v>
      </c>
      <c r="K5" s="44" t="n">
        <v>1.213</v>
      </c>
      <c r="L5" s="38" t="n">
        <v>0.0130000000000001</v>
      </c>
      <c r="M5" s="43" t="n">
        <v>0</v>
      </c>
      <c r="N5" s="44" t="n">
        <v>0.0792</v>
      </c>
      <c r="O5" s="38" t="n">
        <v>0.0792</v>
      </c>
      <c r="P5" s="43" t="n">
        <v>1.33</v>
      </c>
      <c r="Q5" s="44" t="n">
        <v>1.1115</v>
      </c>
      <c r="R5" s="38" t="n">
        <v>0.2185</v>
      </c>
      <c r="S5" s="43" t="n">
        <v>10.1188472998074</v>
      </c>
      <c r="T5" s="44" t="n">
        <v>9.8145</v>
      </c>
      <c r="U5" s="38" t="n">
        <v>0.304347299807391</v>
      </c>
      <c r="V5" s="43" t="n">
        <v>3.84</v>
      </c>
      <c r="W5" s="44" t="n">
        <v>3.8567</v>
      </c>
      <c r="X5" s="38" t="n">
        <v>0.0167000000000002</v>
      </c>
      <c r="Y5" s="43" t="n">
        <v>2.51</v>
      </c>
      <c r="Z5" s="44" t="n">
        <v>2.6344</v>
      </c>
      <c r="AA5" s="38" t="n">
        <v>0.1244</v>
      </c>
      <c r="AB5" s="39" t="s">
        <v>117</v>
      </c>
      <c r="AC5" s="40" t="s">
        <v>118</v>
      </c>
    </row>
    <row r="6" customFormat="false" ht="13.5" hidden="false" customHeight="true" outlineLevel="0" collapsed="false">
      <c r="A6" s="45" t="s">
        <v>34</v>
      </c>
      <c r="B6" s="46" t="s">
        <v>35</v>
      </c>
      <c r="C6" s="46" t="s">
        <v>26</v>
      </c>
      <c r="D6" s="47" t="n">
        <v>4.01</v>
      </c>
      <c r="E6" s="48" t="n">
        <v>3.7946</v>
      </c>
      <c r="F6" s="38" t="n">
        <v>0.2154</v>
      </c>
      <c r="G6" s="47" t="n">
        <v>3.67</v>
      </c>
      <c r="H6" s="48" t="n">
        <v>3.6581</v>
      </c>
      <c r="I6" s="38" t="n">
        <v>0.0118999999999998</v>
      </c>
      <c r="J6" s="47" t="n">
        <v>0.36</v>
      </c>
      <c r="K6" s="39" t="n">
        <v>0</v>
      </c>
      <c r="L6" s="38" t="n">
        <v>0.36</v>
      </c>
      <c r="M6" s="47" t="n">
        <v>0.62</v>
      </c>
      <c r="N6" s="48" t="n">
        <v>0.5809</v>
      </c>
      <c r="O6" s="38" t="n">
        <v>0.0391</v>
      </c>
      <c r="P6" s="47" t="n">
        <v>0.82</v>
      </c>
      <c r="Q6" s="48" t="n">
        <v>0.7683</v>
      </c>
      <c r="R6" s="38" t="n">
        <v>0.0517</v>
      </c>
      <c r="S6" s="47" t="n">
        <v>9.83017728990509</v>
      </c>
      <c r="T6" s="48" t="n">
        <v>10.275</v>
      </c>
      <c r="U6" s="38" t="n">
        <v>0.444822710094913</v>
      </c>
      <c r="V6" s="47" t="n">
        <v>2.95</v>
      </c>
      <c r="W6" s="48" t="n">
        <v>2.8978</v>
      </c>
      <c r="X6" s="38" t="n">
        <v>0.0522</v>
      </c>
      <c r="Y6" s="47" t="n">
        <v>11.97</v>
      </c>
      <c r="Z6" s="48" t="n">
        <v>11.2661</v>
      </c>
      <c r="AA6" s="38" t="n">
        <v>0.703900000000001</v>
      </c>
      <c r="AB6" s="39" t="s">
        <v>117</v>
      </c>
      <c r="AC6" s="40" t="s">
        <v>118</v>
      </c>
    </row>
    <row r="7" customFormat="false" ht="13.5" hidden="false" customHeight="true" outlineLevel="0" collapsed="false">
      <c r="A7" s="41" t="s">
        <v>38</v>
      </c>
      <c r="B7" s="42" t="s">
        <v>25</v>
      </c>
      <c r="C7" s="42" t="s">
        <v>39</v>
      </c>
      <c r="D7" s="43" t="n">
        <v>2.8</v>
      </c>
      <c r="E7" s="44" t="n">
        <v>2.7203</v>
      </c>
      <c r="F7" s="38" t="n">
        <v>0.0796999999999999</v>
      </c>
      <c r="G7" s="43" t="n">
        <v>3.01</v>
      </c>
      <c r="H7" s="44" t="n">
        <v>2.904</v>
      </c>
      <c r="I7" s="38" t="n">
        <v>0.106</v>
      </c>
      <c r="J7" s="43" t="n">
        <v>0.71</v>
      </c>
      <c r="K7" s="44" t="n">
        <v>0.1906</v>
      </c>
      <c r="L7" s="38" t="n">
        <v>0.5194</v>
      </c>
      <c r="M7" s="43" t="n">
        <v>0.3</v>
      </c>
      <c r="N7" s="44" t="n">
        <v>0.2697</v>
      </c>
      <c r="O7" s="38" t="n">
        <v>0.0303</v>
      </c>
      <c r="P7" s="43" t="n">
        <v>1.66</v>
      </c>
      <c r="Q7" s="44" t="n">
        <v>1.9143</v>
      </c>
      <c r="R7" s="38" t="n">
        <v>0.2543</v>
      </c>
      <c r="S7" s="43" t="n">
        <v>11.3280424141411</v>
      </c>
      <c r="T7" s="44" t="n">
        <v>11.5002</v>
      </c>
      <c r="U7" s="38" t="n">
        <v>0.172157585858944</v>
      </c>
      <c r="V7" s="43" t="n">
        <v>3.71</v>
      </c>
      <c r="W7" s="44" t="n">
        <v>3.6585</v>
      </c>
      <c r="X7" s="38" t="n">
        <v>0.0514999999999999</v>
      </c>
      <c r="Y7" s="43" t="n">
        <v>11.6</v>
      </c>
      <c r="Z7" s="44" t="n">
        <v>11.8701</v>
      </c>
      <c r="AA7" s="38" t="n">
        <v>0.270100000000001</v>
      </c>
      <c r="AB7" s="39" t="s">
        <v>117</v>
      </c>
      <c r="AC7" s="40" t="s">
        <v>118</v>
      </c>
    </row>
    <row r="8" customFormat="false" ht="13.5" hidden="false" customHeight="true" outlineLevel="0" collapsed="false">
      <c r="A8" s="45" t="s">
        <v>42</v>
      </c>
      <c r="B8" s="46" t="s">
        <v>35</v>
      </c>
      <c r="C8" s="46" t="s">
        <v>26</v>
      </c>
      <c r="D8" s="47" t="n">
        <v>2.97</v>
      </c>
      <c r="E8" s="48" t="n">
        <v>3.0911</v>
      </c>
      <c r="F8" s="38" t="n">
        <v>0.1211</v>
      </c>
      <c r="G8" s="47" t="n">
        <v>4.01</v>
      </c>
      <c r="H8" s="48" t="n">
        <v>4.0047</v>
      </c>
      <c r="I8" s="38" t="n">
        <v>0.00530000000000008</v>
      </c>
      <c r="J8" s="47" t="n">
        <v>2.21</v>
      </c>
      <c r="K8" s="48" t="n">
        <v>2.6762</v>
      </c>
      <c r="L8" s="38" t="n">
        <v>0.4662</v>
      </c>
      <c r="M8" s="47" t="n">
        <v>0.37</v>
      </c>
      <c r="N8" s="48" t="n">
        <v>0.4237</v>
      </c>
      <c r="O8" s="38" t="n">
        <v>0.0537</v>
      </c>
      <c r="P8" s="47" t="n">
        <v>1.19</v>
      </c>
      <c r="Q8" s="48" t="n">
        <v>1.4622</v>
      </c>
      <c r="R8" s="38" t="n">
        <v>0.2722</v>
      </c>
      <c r="S8" s="47" t="n">
        <v>17.2261789725411</v>
      </c>
      <c r="T8" s="48" t="n">
        <v>17.6107</v>
      </c>
      <c r="U8" s="38" t="n">
        <v>0.384521027458906</v>
      </c>
      <c r="V8" s="47" t="n">
        <v>2.81</v>
      </c>
      <c r="W8" s="48" t="n">
        <v>2.8133</v>
      </c>
      <c r="X8" s="38" t="n">
        <v>0.00329999999999986</v>
      </c>
      <c r="Y8" s="47" t="n">
        <v>2.1</v>
      </c>
      <c r="Z8" s="48" t="n">
        <v>2.1666</v>
      </c>
      <c r="AA8" s="38" t="n">
        <v>0.0665999999999998</v>
      </c>
      <c r="AB8" s="39" t="s">
        <v>117</v>
      </c>
      <c r="AC8" s="40" t="s">
        <v>118</v>
      </c>
    </row>
    <row r="9" customFormat="false" ht="13.5" hidden="false" customHeight="true" outlineLevel="0" collapsed="false">
      <c r="A9" s="41" t="s">
        <v>46</v>
      </c>
      <c r="B9" s="42" t="s">
        <v>25</v>
      </c>
      <c r="C9" s="42" t="s">
        <v>39</v>
      </c>
      <c r="D9" s="43" t="n">
        <v>4.73</v>
      </c>
      <c r="E9" s="44" t="n">
        <v>4.6122</v>
      </c>
      <c r="F9" s="38" t="n">
        <v>0.117800000000001</v>
      </c>
      <c r="G9" s="43" t="n">
        <v>1.32</v>
      </c>
      <c r="H9" s="44" t="n">
        <v>1.2778</v>
      </c>
      <c r="I9" s="38" t="n">
        <v>0.0422</v>
      </c>
      <c r="J9" s="43" t="n">
        <v>1.9</v>
      </c>
      <c r="K9" s="44" t="n">
        <v>1.901</v>
      </c>
      <c r="L9" s="38" t="n">
        <v>0.00100000000000011</v>
      </c>
      <c r="M9" s="43" t="n">
        <v>0.77</v>
      </c>
      <c r="N9" s="44" t="n">
        <v>0.7632</v>
      </c>
      <c r="O9" s="38" t="n">
        <v>0.00680000000000003</v>
      </c>
      <c r="P9" s="43" t="n">
        <v>1.03</v>
      </c>
      <c r="Q9" s="44" t="n">
        <v>1.007</v>
      </c>
      <c r="R9" s="38" t="n">
        <v>0.0230000000000001</v>
      </c>
      <c r="S9" s="43" t="n">
        <v>13.4775800415856</v>
      </c>
      <c r="T9" s="44" t="n">
        <v>13.408</v>
      </c>
      <c r="U9" s="38" t="n">
        <v>0.0695800415856045</v>
      </c>
      <c r="V9" s="43" t="n">
        <v>2.94</v>
      </c>
      <c r="W9" s="44" t="n">
        <v>2.9944</v>
      </c>
      <c r="X9" s="38" t="n">
        <v>0.0544000000000002</v>
      </c>
      <c r="Y9" s="43" t="n">
        <v>5.25</v>
      </c>
      <c r="Z9" s="44" t="n">
        <v>5.7497</v>
      </c>
      <c r="AA9" s="38" t="n">
        <v>0.4997</v>
      </c>
      <c r="AB9" s="39" t="s">
        <v>117</v>
      </c>
      <c r="AC9" s="40" t="s">
        <v>118</v>
      </c>
    </row>
    <row r="10" customFormat="false" ht="13.5" hidden="false" customHeight="true" outlineLevel="0" collapsed="false">
      <c r="A10" s="45" t="s">
        <v>48</v>
      </c>
      <c r="B10" s="46" t="s">
        <v>25</v>
      </c>
      <c r="C10" s="46" t="s">
        <v>26</v>
      </c>
      <c r="D10" s="47" t="n">
        <v>1.44</v>
      </c>
      <c r="E10" s="48" t="n">
        <v>1.5303</v>
      </c>
      <c r="F10" s="38" t="n">
        <v>0.0903000000000001</v>
      </c>
      <c r="G10" s="47" t="n">
        <v>3.25</v>
      </c>
      <c r="H10" s="48" t="n">
        <v>3.1946</v>
      </c>
      <c r="I10" s="38" t="n">
        <v>0.0554000000000001</v>
      </c>
      <c r="J10" s="47" t="n">
        <v>1.42</v>
      </c>
      <c r="K10" s="48" t="n">
        <v>1.7215</v>
      </c>
      <c r="L10" s="38" t="n">
        <v>0.3015</v>
      </c>
      <c r="M10" s="47" t="n">
        <v>0.91</v>
      </c>
      <c r="N10" s="48" t="n">
        <v>0.9724</v>
      </c>
      <c r="O10" s="38" t="n">
        <v>0.0624</v>
      </c>
      <c r="P10" s="47" t="n">
        <v>0.7</v>
      </c>
      <c r="Q10" s="48" t="n">
        <v>0.6688</v>
      </c>
      <c r="R10" s="38" t="n">
        <v>0.0312</v>
      </c>
      <c r="S10" s="47" t="n">
        <v>16.3687064713331</v>
      </c>
      <c r="T10" s="48" t="n">
        <v>16.4557</v>
      </c>
      <c r="U10" s="38" t="n">
        <v>0.0869935286668664</v>
      </c>
      <c r="V10" s="47" t="n">
        <v>4.28</v>
      </c>
      <c r="W10" s="48" t="n">
        <v>4.234</v>
      </c>
      <c r="X10" s="38" t="n">
        <v>0.0460000000000003</v>
      </c>
      <c r="Y10" s="47" t="n">
        <v>5.41</v>
      </c>
      <c r="Z10" s="48" t="n">
        <v>4.9365</v>
      </c>
      <c r="AA10" s="38" t="n">
        <v>0.473500000000001</v>
      </c>
      <c r="AB10" s="39" t="s">
        <v>117</v>
      </c>
      <c r="AC10" s="40" t="s">
        <v>118</v>
      </c>
    </row>
    <row r="11" customFormat="false" ht="13.5" hidden="false" customHeight="true" outlineLevel="0" collapsed="false">
      <c r="A11" s="41" t="s">
        <v>50</v>
      </c>
      <c r="B11" s="42" t="s">
        <v>35</v>
      </c>
      <c r="C11" s="42" t="s">
        <v>39</v>
      </c>
      <c r="D11" s="43" t="n">
        <v>4.04</v>
      </c>
      <c r="E11" s="44" t="n">
        <v>4.2203</v>
      </c>
      <c r="F11" s="38" t="n">
        <v>0.1803</v>
      </c>
      <c r="G11" s="43" t="n">
        <v>3.13</v>
      </c>
      <c r="H11" s="44" t="n">
        <v>3.157</v>
      </c>
      <c r="I11" s="38" t="n">
        <v>0.0270000000000001</v>
      </c>
      <c r="J11" s="43" t="n">
        <v>0.93</v>
      </c>
      <c r="K11" s="44" t="n">
        <v>1.2441</v>
      </c>
      <c r="L11" s="38" t="n">
        <v>0.3141</v>
      </c>
      <c r="M11" s="43" t="n">
        <v>0.64</v>
      </c>
      <c r="N11" s="44" t="n">
        <v>0.6744</v>
      </c>
      <c r="O11" s="38" t="n">
        <v>0.0344</v>
      </c>
      <c r="P11" s="43" t="n">
        <v>1.04</v>
      </c>
      <c r="Q11" s="44" t="n">
        <v>1.0189</v>
      </c>
      <c r="R11" s="38" t="n">
        <v>0.0211000000000001</v>
      </c>
      <c r="S11" s="43" t="n">
        <v>15.3829038329641</v>
      </c>
      <c r="T11" s="44" t="n">
        <v>15.7001</v>
      </c>
      <c r="U11" s="38" t="n">
        <v>0.317196167035876</v>
      </c>
      <c r="V11" s="43" t="n">
        <v>2.44</v>
      </c>
      <c r="W11" s="44" t="n">
        <v>2.3951</v>
      </c>
      <c r="X11" s="38" t="n">
        <v>0.0449000000000002</v>
      </c>
      <c r="Y11" s="43" t="n">
        <v>1.33</v>
      </c>
      <c r="Z11" s="44" t="n">
        <v>2.4118</v>
      </c>
      <c r="AA11" s="38" t="n">
        <v>1.0818</v>
      </c>
      <c r="AB11" s="39" t="s">
        <v>117</v>
      </c>
      <c r="AC11" s="40" t="s">
        <v>118</v>
      </c>
    </row>
    <row r="12" customFormat="false" ht="13.5" hidden="false" customHeight="true" outlineLevel="0" collapsed="false">
      <c r="A12" s="34" t="s">
        <v>52</v>
      </c>
      <c r="B12" s="35" t="s">
        <v>25</v>
      </c>
      <c r="C12" s="35" t="s">
        <v>26</v>
      </c>
      <c r="D12" s="36" t="n">
        <v>0.9</v>
      </c>
      <c r="E12" s="37" t="n">
        <v>0.8508</v>
      </c>
      <c r="F12" s="38" t="n">
        <v>0.0492</v>
      </c>
      <c r="G12" s="36" t="n">
        <v>2.07</v>
      </c>
      <c r="H12" s="37" t="n">
        <v>2.2195</v>
      </c>
      <c r="I12" s="38" t="n">
        <v>0.1495</v>
      </c>
      <c r="J12" s="36" t="n">
        <v>2.37</v>
      </c>
      <c r="K12" s="37" t="n">
        <v>2.2514</v>
      </c>
      <c r="L12" s="38" t="n">
        <v>0.1186</v>
      </c>
      <c r="M12" s="36" t="n">
        <v>0.43</v>
      </c>
      <c r="N12" s="37" t="n">
        <v>0.4433</v>
      </c>
      <c r="O12" s="38" t="n">
        <v>0.0133</v>
      </c>
      <c r="P12" s="36" t="n">
        <v>1.5</v>
      </c>
      <c r="Q12" s="37" t="n">
        <v>1.3283</v>
      </c>
      <c r="R12" s="38" t="n">
        <v>0.1717</v>
      </c>
      <c r="S12" s="36" t="n">
        <v>16.6523469386874</v>
      </c>
      <c r="T12" s="37" t="n">
        <v>16.5568</v>
      </c>
      <c r="U12" s="38" t="n">
        <v>0.0955469386873489</v>
      </c>
      <c r="V12" s="36" t="n">
        <v>2.88</v>
      </c>
      <c r="W12" s="37" t="n">
        <v>2.8577</v>
      </c>
      <c r="X12" s="38" t="n">
        <v>0.0223</v>
      </c>
      <c r="Y12" s="36" t="n">
        <v>4.64</v>
      </c>
      <c r="Z12" s="37" t="n">
        <v>5.3173</v>
      </c>
      <c r="AA12" s="38" t="n">
        <v>0.677300000000001</v>
      </c>
      <c r="AB12" s="39" t="s">
        <v>117</v>
      </c>
      <c r="AC12" s="40" t="s">
        <v>118</v>
      </c>
    </row>
    <row r="13" customFormat="false" ht="13.5" hidden="false" customHeight="true" outlineLevel="0" collapsed="false">
      <c r="A13" s="41" t="s">
        <v>54</v>
      </c>
      <c r="B13" s="42" t="s">
        <v>25</v>
      </c>
      <c r="C13" s="42" t="s">
        <v>39</v>
      </c>
      <c r="D13" s="43" t="n">
        <v>2.41</v>
      </c>
      <c r="E13" s="44" t="n">
        <v>2.1775</v>
      </c>
      <c r="F13" s="38" t="n">
        <v>0.2325</v>
      </c>
      <c r="G13" s="43" t="n">
        <v>1.9</v>
      </c>
      <c r="H13" s="44" t="n">
        <v>1.8537</v>
      </c>
      <c r="I13" s="38" t="n">
        <v>0.0463</v>
      </c>
      <c r="J13" s="43" t="n">
        <v>2.06</v>
      </c>
      <c r="K13" s="44" t="n">
        <v>2.3971</v>
      </c>
      <c r="L13" s="38" t="n">
        <v>0.3371</v>
      </c>
      <c r="M13" s="43" t="n">
        <v>0.55</v>
      </c>
      <c r="N13" s="44" t="n">
        <v>0.4509</v>
      </c>
      <c r="O13" s="38" t="n">
        <v>0.0991</v>
      </c>
      <c r="P13" s="43" t="n">
        <v>0.89</v>
      </c>
      <c r="Q13" s="44" t="n">
        <v>0.6802</v>
      </c>
      <c r="R13" s="38" t="n">
        <v>0.2098</v>
      </c>
      <c r="S13" s="43" t="n">
        <v>16.6275212917694</v>
      </c>
      <c r="T13" s="44" t="n">
        <v>16.4192</v>
      </c>
      <c r="U13" s="38" t="n">
        <v>0.208321291769355</v>
      </c>
      <c r="V13" s="43" t="n">
        <v>4.18</v>
      </c>
      <c r="W13" s="44" t="n">
        <v>4.1292</v>
      </c>
      <c r="X13" s="38" t="n">
        <v>0.0507999999999997</v>
      </c>
      <c r="Y13" s="43" t="n">
        <v>5.61</v>
      </c>
      <c r="Z13" s="44" t="n">
        <v>4.5288</v>
      </c>
      <c r="AA13" s="38" t="n">
        <v>1.0812</v>
      </c>
      <c r="AB13" s="39" t="s">
        <v>117</v>
      </c>
      <c r="AC13" s="40" t="s">
        <v>118</v>
      </c>
    </row>
    <row r="14" customFormat="false" ht="13.5" hidden="false" customHeight="true" outlineLevel="0" collapsed="false">
      <c r="A14" s="34" t="s">
        <v>56</v>
      </c>
      <c r="B14" s="35" t="s">
        <v>25</v>
      </c>
      <c r="C14" s="35" t="s">
        <v>26</v>
      </c>
      <c r="D14" s="36" t="n">
        <v>3.21</v>
      </c>
      <c r="E14" s="37" t="n">
        <v>3.3826</v>
      </c>
      <c r="F14" s="38" t="n">
        <v>0.1726</v>
      </c>
      <c r="G14" s="36" t="n">
        <v>4.11</v>
      </c>
      <c r="H14" s="37" t="n">
        <v>4.2072</v>
      </c>
      <c r="I14" s="38" t="n">
        <v>0.0972</v>
      </c>
      <c r="J14" s="36" t="n">
        <v>0.92</v>
      </c>
      <c r="K14" s="37" t="n">
        <v>1.4069</v>
      </c>
      <c r="L14" s="38" t="n">
        <v>0.4869</v>
      </c>
      <c r="M14" s="36" t="n">
        <v>0.34</v>
      </c>
      <c r="N14" s="37" t="n">
        <v>0.2374</v>
      </c>
      <c r="O14" s="38" t="n">
        <v>0.1026</v>
      </c>
      <c r="P14" s="36" t="n">
        <v>0.13</v>
      </c>
      <c r="Q14" s="37" t="n">
        <v>0.2416</v>
      </c>
      <c r="R14" s="38" t="n">
        <v>0.1116</v>
      </c>
      <c r="S14" s="36" t="n">
        <v>15.1882749011254</v>
      </c>
      <c r="T14" s="37" t="n">
        <v>15.4353</v>
      </c>
      <c r="U14" s="38" t="n">
        <v>0.247025098874644</v>
      </c>
      <c r="V14" s="36" t="n">
        <v>3.7</v>
      </c>
      <c r="W14" s="37" t="n">
        <v>3.7197</v>
      </c>
      <c r="X14" s="38" t="n">
        <v>0.0196999999999998</v>
      </c>
      <c r="Y14" s="36" t="n">
        <v>10.24</v>
      </c>
      <c r="Z14" s="37" t="n">
        <v>9.9588</v>
      </c>
      <c r="AA14" s="38" t="n">
        <v>0.2812</v>
      </c>
      <c r="AB14" s="39" t="s">
        <v>117</v>
      </c>
      <c r="AC14" s="40" t="s">
        <v>118</v>
      </c>
    </row>
    <row r="15" customFormat="false" ht="13.5" hidden="false" customHeight="true" outlineLevel="0" collapsed="false">
      <c r="A15" s="41" t="s">
        <v>58</v>
      </c>
      <c r="B15" s="42" t="s">
        <v>25</v>
      </c>
      <c r="C15" s="42" t="s">
        <v>39</v>
      </c>
      <c r="D15" s="43" t="n">
        <v>2.25</v>
      </c>
      <c r="E15" s="44" t="n">
        <v>2.4576</v>
      </c>
      <c r="F15" s="38" t="n">
        <v>0.2076</v>
      </c>
      <c r="G15" s="43" t="n">
        <v>2.04</v>
      </c>
      <c r="H15" s="44" t="n">
        <v>1.8934</v>
      </c>
      <c r="I15" s="38" t="n">
        <v>0.1466</v>
      </c>
      <c r="J15" s="43" t="n">
        <v>2.02</v>
      </c>
      <c r="K15" s="44" t="n">
        <v>2.0979</v>
      </c>
      <c r="L15" s="38" t="n">
        <v>0.0779000000000001</v>
      </c>
      <c r="M15" s="43" t="n">
        <v>0.16</v>
      </c>
      <c r="N15" s="44" t="n">
        <v>0.2388</v>
      </c>
      <c r="O15" s="38" t="n">
        <v>0.0788</v>
      </c>
      <c r="P15" s="43" t="n">
        <v>1.68</v>
      </c>
      <c r="Q15" s="44" t="n">
        <v>1.4126</v>
      </c>
      <c r="R15" s="38" t="n">
        <v>0.2674</v>
      </c>
      <c r="S15" s="43" t="n">
        <v>13.1887463521635</v>
      </c>
      <c r="T15" s="44" t="n">
        <v>13.2436</v>
      </c>
      <c r="U15" s="38" t="n">
        <v>0.0548536478365111</v>
      </c>
      <c r="V15" s="43" t="n">
        <v>4.08</v>
      </c>
      <c r="W15" s="44" t="n">
        <v>4.0627</v>
      </c>
      <c r="X15" s="38" t="n">
        <v>0.0172999999999997</v>
      </c>
      <c r="Y15" s="43" t="n">
        <v>9.56</v>
      </c>
      <c r="Z15" s="44" t="n">
        <v>10.5073</v>
      </c>
      <c r="AA15" s="38" t="n">
        <v>0.9473</v>
      </c>
      <c r="AB15" s="39" t="s">
        <v>117</v>
      </c>
      <c r="AC15" s="40" t="s">
        <v>118</v>
      </c>
    </row>
    <row r="16" customFormat="false" ht="13.5" hidden="false" customHeight="true" outlineLevel="0" collapsed="false">
      <c r="A16" s="45" t="s">
        <v>60</v>
      </c>
      <c r="B16" s="46" t="s">
        <v>35</v>
      </c>
      <c r="C16" s="46" t="s">
        <v>26</v>
      </c>
      <c r="D16" s="47" t="n">
        <v>4.79</v>
      </c>
      <c r="E16" s="48" t="n">
        <v>4.6548</v>
      </c>
      <c r="F16" s="38" t="n">
        <v>0.1352</v>
      </c>
      <c r="G16" s="47" t="n">
        <v>4.91</v>
      </c>
      <c r="H16" s="48" t="n">
        <v>4.9281</v>
      </c>
      <c r="I16" s="38" t="n">
        <v>0.0180999999999996</v>
      </c>
      <c r="J16" s="47" t="n">
        <v>1.16</v>
      </c>
      <c r="K16" s="48" t="n">
        <v>1.5524</v>
      </c>
      <c r="L16" s="38" t="n">
        <v>0.3924</v>
      </c>
      <c r="M16" s="47" t="n">
        <v>0.77</v>
      </c>
      <c r="N16" s="48" t="n">
        <v>0.728</v>
      </c>
      <c r="O16" s="38" t="n">
        <v>0.042</v>
      </c>
      <c r="P16" s="47" t="n">
        <v>0.58</v>
      </c>
      <c r="Q16" s="48" t="n">
        <v>0.821</v>
      </c>
      <c r="R16" s="38" t="n">
        <v>0.241</v>
      </c>
      <c r="S16" s="47" t="n">
        <v>15.1907798549273</v>
      </c>
      <c r="T16" s="48" t="n">
        <v>14.6883</v>
      </c>
      <c r="U16" s="38" t="n">
        <v>0.502479854927293</v>
      </c>
      <c r="V16" s="47" t="n">
        <v>3.65</v>
      </c>
      <c r="W16" s="48" t="n">
        <v>3.6298</v>
      </c>
      <c r="X16" s="38" t="n">
        <v>0.0202</v>
      </c>
      <c r="Y16" s="47" t="n">
        <v>9.84</v>
      </c>
      <c r="Z16" s="48" t="n">
        <v>10.7127</v>
      </c>
      <c r="AA16" s="38" t="n">
        <v>0.8727</v>
      </c>
      <c r="AB16" s="39" t="s">
        <v>117</v>
      </c>
      <c r="AC16" s="40" t="s">
        <v>118</v>
      </c>
    </row>
    <row r="17" customFormat="false" ht="13.5" hidden="false" customHeight="true" outlineLevel="0" collapsed="false">
      <c r="A17" s="41" t="s">
        <v>62</v>
      </c>
      <c r="B17" s="42" t="s">
        <v>25</v>
      </c>
      <c r="C17" s="42" t="s">
        <v>26</v>
      </c>
      <c r="D17" s="43" t="n">
        <v>1.51</v>
      </c>
      <c r="E17" s="44" t="n">
        <v>1.2843</v>
      </c>
      <c r="F17" s="38" t="n">
        <v>0.2257</v>
      </c>
      <c r="G17" s="43" t="n">
        <v>4.38</v>
      </c>
      <c r="H17" s="44" t="n">
        <v>4.372</v>
      </c>
      <c r="I17" s="38" t="n">
        <v>0.00800000000000001</v>
      </c>
      <c r="J17" s="43" t="n">
        <v>0.75</v>
      </c>
      <c r="K17" s="44" t="n">
        <v>0.32</v>
      </c>
      <c r="L17" s="38" t="n">
        <v>0.43</v>
      </c>
      <c r="M17" s="43" t="n">
        <v>0.47</v>
      </c>
      <c r="N17" s="44" t="n">
        <v>0.5687</v>
      </c>
      <c r="O17" s="38" t="n">
        <v>0.0987</v>
      </c>
      <c r="P17" s="43" t="n">
        <v>1.23</v>
      </c>
      <c r="Q17" s="44" t="n">
        <v>1.2603</v>
      </c>
      <c r="R17" s="38" t="n">
        <v>0.0303</v>
      </c>
      <c r="S17" s="43" t="n">
        <v>15.6576108729988</v>
      </c>
      <c r="T17" s="44" t="n">
        <v>15.1228</v>
      </c>
      <c r="U17" s="38" t="n">
        <v>0.53481087299882</v>
      </c>
      <c r="V17" s="43" t="n">
        <v>3.26</v>
      </c>
      <c r="W17" s="44" t="n">
        <v>3.2139</v>
      </c>
      <c r="X17" s="38" t="n">
        <v>0.0460999999999996</v>
      </c>
      <c r="Y17" s="43" t="n">
        <v>10.67</v>
      </c>
      <c r="Z17" s="44" t="n">
        <v>10.327</v>
      </c>
      <c r="AA17" s="38" t="n">
        <v>0.343</v>
      </c>
      <c r="AB17" s="39" t="s">
        <v>117</v>
      </c>
      <c r="AC17" s="40" t="s">
        <v>118</v>
      </c>
    </row>
    <row r="18" customFormat="false" ht="13.5" hidden="false" customHeight="true" outlineLevel="0" collapsed="false">
      <c r="A18" s="45" t="s">
        <v>64</v>
      </c>
      <c r="B18" s="46" t="s">
        <v>35</v>
      </c>
      <c r="C18" s="46" t="s">
        <v>26</v>
      </c>
      <c r="D18" s="47" t="n">
        <v>3.5</v>
      </c>
      <c r="E18" s="48" t="n">
        <v>3.7495</v>
      </c>
      <c r="F18" s="38" t="n">
        <v>0.2495</v>
      </c>
      <c r="G18" s="47" t="n">
        <v>3.47</v>
      </c>
      <c r="H18" s="48" t="n">
        <v>3.5305</v>
      </c>
      <c r="I18" s="38" t="n">
        <v>0.0604999999999998</v>
      </c>
      <c r="J18" s="47" t="n">
        <v>0.15</v>
      </c>
      <c r="K18" s="48" t="n">
        <v>0.1896</v>
      </c>
      <c r="L18" s="38" t="n">
        <v>0.0396</v>
      </c>
      <c r="M18" s="47" t="n">
        <v>0.42</v>
      </c>
      <c r="N18" s="48" t="n">
        <v>0.5168</v>
      </c>
      <c r="O18" s="38" t="n">
        <v>0.0968000000000001</v>
      </c>
      <c r="P18" s="47" t="n">
        <v>0</v>
      </c>
      <c r="Q18" s="48" t="n">
        <v>0.1071</v>
      </c>
      <c r="R18" s="38" t="n">
        <v>0.1071</v>
      </c>
      <c r="S18" s="47" t="n">
        <v>12.1616605935439</v>
      </c>
      <c r="T18" s="48" t="n">
        <v>12.4007</v>
      </c>
      <c r="U18" s="38" t="n">
        <v>0.239039406456129</v>
      </c>
      <c r="V18" s="47" t="n">
        <v>4.18</v>
      </c>
      <c r="W18" s="48" t="n">
        <v>4.19</v>
      </c>
      <c r="X18" s="38" t="n">
        <v>0.0100000000000007</v>
      </c>
      <c r="Y18" s="47" t="n">
        <v>4.03</v>
      </c>
      <c r="Z18" s="48" t="n">
        <v>3.496</v>
      </c>
      <c r="AA18" s="38" t="n">
        <v>0.534</v>
      </c>
      <c r="AB18" s="39" t="s">
        <v>117</v>
      </c>
      <c r="AC18" s="40" t="s">
        <v>118</v>
      </c>
    </row>
    <row r="19" customFormat="false" ht="13.5" hidden="false" customHeight="true" outlineLevel="0" collapsed="false">
      <c r="A19" s="41" t="s">
        <v>67</v>
      </c>
      <c r="B19" s="42" t="s">
        <v>35</v>
      </c>
      <c r="C19" s="42" t="s">
        <v>26</v>
      </c>
      <c r="D19" s="43" t="n">
        <v>3.54</v>
      </c>
      <c r="E19" s="44" t="n">
        <v>3.475</v>
      </c>
      <c r="F19" s="38" t="n">
        <v>0.065</v>
      </c>
      <c r="G19" s="43" t="n">
        <v>3.44</v>
      </c>
      <c r="H19" s="44" t="n">
        <v>3.4592</v>
      </c>
      <c r="I19" s="38" t="n">
        <v>0.0192000000000001</v>
      </c>
      <c r="J19" s="43" t="n">
        <v>1.9</v>
      </c>
      <c r="K19" s="44" t="n">
        <v>1.9774</v>
      </c>
      <c r="L19" s="38" t="n">
        <v>0.0774000000000001</v>
      </c>
      <c r="M19" s="43" t="n">
        <v>0.71</v>
      </c>
      <c r="N19" s="44" t="n">
        <v>0.7092</v>
      </c>
      <c r="O19" s="38" t="n">
        <v>0.000799999999999912</v>
      </c>
      <c r="P19" s="43" t="n">
        <v>1.71</v>
      </c>
      <c r="Q19" s="44" t="n">
        <v>1.9715</v>
      </c>
      <c r="R19" s="38" t="n">
        <v>0.2615</v>
      </c>
      <c r="S19" s="43" t="n">
        <v>13.0058228323216</v>
      </c>
      <c r="T19" s="44" t="n">
        <v>13.3698</v>
      </c>
      <c r="U19" s="38" t="n">
        <v>0.363977167678412</v>
      </c>
      <c r="V19" s="43" t="n">
        <v>1.7</v>
      </c>
      <c r="W19" s="44" t="n">
        <v>1.7018</v>
      </c>
      <c r="X19" s="38" t="n">
        <v>0.00180000000000002</v>
      </c>
      <c r="Y19" s="43" t="n">
        <v>3.36</v>
      </c>
      <c r="Z19" s="44" t="n">
        <v>2.6122</v>
      </c>
      <c r="AA19" s="38" t="n">
        <v>0.7478</v>
      </c>
      <c r="AB19" s="39" t="s">
        <v>117</v>
      </c>
      <c r="AC19" s="40" t="s">
        <v>118</v>
      </c>
    </row>
    <row r="20" customFormat="false" ht="13.5" hidden="false" customHeight="true" outlineLevel="0" collapsed="false">
      <c r="A20" s="45" t="s">
        <v>69</v>
      </c>
      <c r="B20" s="46" t="s">
        <v>35</v>
      </c>
      <c r="C20" s="46" t="s">
        <v>39</v>
      </c>
      <c r="D20" s="47" t="n">
        <v>5.34</v>
      </c>
      <c r="E20" s="48" t="n">
        <v>5.0884</v>
      </c>
      <c r="F20" s="38" t="n">
        <v>0.2516</v>
      </c>
      <c r="G20" s="47" t="n">
        <v>2.71</v>
      </c>
      <c r="H20" s="48" t="n">
        <v>2.8396</v>
      </c>
      <c r="I20" s="38" t="n">
        <v>0.1296</v>
      </c>
      <c r="J20" s="47" t="n">
        <v>2.27</v>
      </c>
      <c r="K20" s="48" t="n">
        <v>2.3601</v>
      </c>
      <c r="L20" s="38" t="n">
        <v>0.0901000000000001</v>
      </c>
      <c r="M20" s="47" t="n">
        <v>0</v>
      </c>
      <c r="N20" s="48" t="n">
        <v>0.0698</v>
      </c>
      <c r="O20" s="38" t="n">
        <v>0.0698</v>
      </c>
      <c r="P20" s="47" t="n">
        <v>0.7</v>
      </c>
      <c r="Q20" s="48" t="n">
        <v>0.6766</v>
      </c>
      <c r="R20" s="38" t="n">
        <v>0.0234</v>
      </c>
      <c r="S20" s="47" t="n">
        <v>15.2534893137587</v>
      </c>
      <c r="T20" s="48" t="n">
        <v>14.7897</v>
      </c>
      <c r="U20" s="38" t="n">
        <v>0.463789313758699</v>
      </c>
      <c r="V20" s="47" t="n">
        <v>4.03</v>
      </c>
      <c r="W20" s="48" t="n">
        <v>4.0396</v>
      </c>
      <c r="X20" s="38" t="n">
        <v>0.00959999999999983</v>
      </c>
      <c r="Y20" s="47" t="n">
        <v>0.72</v>
      </c>
      <c r="Z20" s="48" t="n">
        <v>0.1709</v>
      </c>
      <c r="AA20" s="38" t="n">
        <v>0.5491</v>
      </c>
      <c r="AB20" s="39" t="s">
        <v>117</v>
      </c>
      <c r="AC20" s="40" t="s">
        <v>118</v>
      </c>
    </row>
    <row r="21" customFormat="false" ht="13.5" hidden="false" customHeight="true" outlineLevel="0" collapsed="false">
      <c r="A21" s="41" t="s">
        <v>71</v>
      </c>
      <c r="B21" s="42" t="s">
        <v>35</v>
      </c>
      <c r="C21" s="42" t="s">
        <v>26</v>
      </c>
      <c r="D21" s="43" t="n">
        <v>3.28</v>
      </c>
      <c r="E21" s="44" t="n">
        <v>3.434</v>
      </c>
      <c r="F21" s="38" t="n">
        <v>0.154</v>
      </c>
      <c r="G21" s="43" t="n">
        <v>4.11</v>
      </c>
      <c r="H21" s="44" t="n">
        <v>4.1438</v>
      </c>
      <c r="I21" s="38" t="n">
        <v>0.0337999999999994</v>
      </c>
      <c r="J21" s="43" t="n">
        <v>0</v>
      </c>
      <c r="K21" s="39" t="n">
        <v>0</v>
      </c>
      <c r="L21" s="38" t="n">
        <v>0</v>
      </c>
      <c r="M21" s="43" t="n">
        <v>0.68</v>
      </c>
      <c r="N21" s="44" t="n">
        <v>0.6032</v>
      </c>
      <c r="O21" s="38" t="n">
        <v>0.0768000000000001</v>
      </c>
      <c r="P21" s="43" t="n">
        <v>1.01</v>
      </c>
      <c r="Q21" s="44" t="n">
        <v>0.7907</v>
      </c>
      <c r="R21" s="38" t="n">
        <v>0.2193</v>
      </c>
      <c r="S21" s="43" t="n">
        <v>11.493009413483</v>
      </c>
      <c r="T21" s="44" t="n">
        <v>11.9703</v>
      </c>
      <c r="U21" s="38" t="n">
        <v>0.477290586517015</v>
      </c>
      <c r="V21" s="43" t="n">
        <v>2.41</v>
      </c>
      <c r="W21" s="44" t="n">
        <v>2.397</v>
      </c>
      <c r="X21" s="38" t="n">
        <v>0.0130000000000003</v>
      </c>
      <c r="Y21" s="43" t="n">
        <v>4.36</v>
      </c>
      <c r="Z21" s="44" t="n">
        <v>5.2446</v>
      </c>
      <c r="AA21" s="38" t="n">
        <v>0.8846</v>
      </c>
      <c r="AB21" s="39" t="s">
        <v>117</v>
      </c>
      <c r="AC21" s="40" t="s">
        <v>118</v>
      </c>
    </row>
    <row r="22" customFormat="false" ht="13.5" hidden="false" customHeight="true" outlineLevel="0" collapsed="false">
      <c r="A22" s="45" t="s">
        <v>73</v>
      </c>
      <c r="B22" s="46" t="s">
        <v>25</v>
      </c>
      <c r="C22" s="46" t="s">
        <v>39</v>
      </c>
      <c r="D22" s="47" t="n">
        <v>3.3</v>
      </c>
      <c r="E22" s="48" t="n">
        <v>3.2904</v>
      </c>
      <c r="F22" s="38" t="n">
        <v>0.00959999999999983</v>
      </c>
      <c r="G22" s="47" t="n">
        <v>2.11</v>
      </c>
      <c r="H22" s="48" t="n">
        <v>2.1489</v>
      </c>
      <c r="I22" s="38" t="n">
        <v>0.0388999999999999</v>
      </c>
      <c r="J22" s="47" t="n">
        <v>1.64</v>
      </c>
      <c r="K22" s="48" t="n">
        <v>1.823</v>
      </c>
      <c r="L22" s="38" t="n">
        <v>0.183</v>
      </c>
      <c r="M22" s="47" t="n">
        <v>0.89</v>
      </c>
      <c r="N22" s="48" t="n">
        <v>0.9903</v>
      </c>
      <c r="O22" s="38" t="n">
        <v>0.1003</v>
      </c>
      <c r="P22" s="47" t="n">
        <v>0.95</v>
      </c>
      <c r="Q22" s="48" t="n">
        <v>1.2229</v>
      </c>
      <c r="R22" s="38" t="n">
        <v>0.2729</v>
      </c>
      <c r="S22" s="47" t="n">
        <v>15.4808472639915</v>
      </c>
      <c r="T22" s="48" t="n">
        <v>15.708</v>
      </c>
      <c r="U22" s="38" t="n">
        <v>0.227152736008534</v>
      </c>
      <c r="V22" s="47" t="n">
        <v>2.64</v>
      </c>
      <c r="W22" s="48" t="n">
        <v>2.6984</v>
      </c>
      <c r="X22" s="38" t="n">
        <v>0.0583999999999998</v>
      </c>
      <c r="Y22" s="47" t="n">
        <v>8.01</v>
      </c>
      <c r="Z22" s="48" t="n">
        <v>7.8339</v>
      </c>
      <c r="AA22" s="38" t="n">
        <v>0.1761</v>
      </c>
      <c r="AB22" s="39" t="s">
        <v>117</v>
      </c>
      <c r="AC22" s="40" t="s">
        <v>118</v>
      </c>
    </row>
    <row r="23" customFormat="false" ht="13.5" hidden="false" customHeight="true" outlineLevel="0" collapsed="false">
      <c r="A23" s="41" t="s">
        <v>75</v>
      </c>
      <c r="B23" s="42" t="s">
        <v>25</v>
      </c>
      <c r="C23" s="42" t="s">
        <v>39</v>
      </c>
      <c r="D23" s="43" t="n">
        <v>4.65</v>
      </c>
      <c r="E23" s="44" t="n">
        <v>4.8841</v>
      </c>
      <c r="F23" s="38" t="n">
        <v>0.2341</v>
      </c>
      <c r="G23" s="43" t="n">
        <v>2.67</v>
      </c>
      <c r="H23" s="44" t="n">
        <v>2.7477</v>
      </c>
      <c r="I23" s="38" t="n">
        <v>0.0777000000000001</v>
      </c>
      <c r="J23" s="43" t="n">
        <v>1.33</v>
      </c>
      <c r="K23" s="44" t="n">
        <v>0.899</v>
      </c>
      <c r="L23" s="38" t="n">
        <v>0.431</v>
      </c>
      <c r="M23" s="43" t="n">
        <v>0.27</v>
      </c>
      <c r="N23" s="44" t="n">
        <v>0.3209</v>
      </c>
      <c r="O23" s="38" t="n">
        <v>0.0509</v>
      </c>
      <c r="P23" s="43" t="n">
        <v>1.07</v>
      </c>
      <c r="Q23" s="44" t="n">
        <v>0.9383</v>
      </c>
      <c r="R23" s="38" t="n">
        <v>0.1317</v>
      </c>
      <c r="S23" s="43" t="n">
        <v>10.4406677858791</v>
      </c>
      <c r="T23" s="44" t="n">
        <v>10.469</v>
      </c>
      <c r="U23" s="38" t="n">
        <v>0.0283322141209457</v>
      </c>
      <c r="V23" s="43" t="n">
        <v>3.06</v>
      </c>
      <c r="W23" s="44" t="n">
        <v>2.9972</v>
      </c>
      <c r="X23" s="38" t="n">
        <v>0.0628000000000002</v>
      </c>
      <c r="Y23" s="43" t="n">
        <v>2.15</v>
      </c>
      <c r="Z23" s="44" t="n">
        <v>3.158</v>
      </c>
      <c r="AA23" s="38" t="n">
        <v>1.008</v>
      </c>
      <c r="AB23" s="39" t="s">
        <v>117</v>
      </c>
      <c r="AC23" s="40" t="s">
        <v>118</v>
      </c>
    </row>
    <row r="24" customFormat="false" ht="13.5" hidden="false" customHeight="true" outlineLevel="0" collapsed="false">
      <c r="A24" s="45" t="s">
        <v>77</v>
      </c>
      <c r="B24" s="46" t="s">
        <v>25</v>
      </c>
      <c r="C24" s="46" t="s">
        <v>26</v>
      </c>
      <c r="D24" s="47" t="n">
        <v>1.58</v>
      </c>
      <c r="E24" s="48" t="n">
        <v>1.7998</v>
      </c>
      <c r="F24" s="38" t="n">
        <v>0.2198</v>
      </c>
      <c r="G24" s="47" t="n">
        <v>3.03</v>
      </c>
      <c r="H24" s="48" t="n">
        <v>3.0033</v>
      </c>
      <c r="I24" s="38" t="n">
        <v>0.0267</v>
      </c>
      <c r="J24" s="47" t="n">
        <v>0.88</v>
      </c>
      <c r="K24" s="48" t="n">
        <v>1.2858</v>
      </c>
      <c r="L24" s="38" t="n">
        <v>0.4058</v>
      </c>
      <c r="M24" s="47" t="n">
        <v>0.57</v>
      </c>
      <c r="N24" s="48" t="n">
        <v>0.6019</v>
      </c>
      <c r="O24" s="38" t="n">
        <v>0.0319</v>
      </c>
      <c r="P24" s="47" t="n">
        <v>1.54</v>
      </c>
      <c r="Q24" s="48" t="n">
        <v>1.3185</v>
      </c>
      <c r="R24" s="38" t="n">
        <v>0.2215</v>
      </c>
      <c r="S24" s="47" t="n">
        <v>10.7713475474582</v>
      </c>
      <c r="T24" s="48" t="n">
        <v>10.658</v>
      </c>
      <c r="U24" s="38" t="n">
        <v>0.113347547458156</v>
      </c>
      <c r="V24" s="47" t="n">
        <v>3.54</v>
      </c>
      <c r="W24" s="48" t="n">
        <v>3.5711</v>
      </c>
      <c r="X24" s="38" t="n">
        <v>0.0310999999999999</v>
      </c>
      <c r="Y24" s="47" t="n">
        <v>8.73</v>
      </c>
      <c r="Z24" s="48" t="n">
        <v>9.0921</v>
      </c>
      <c r="AA24" s="38" t="n">
        <v>0.3621</v>
      </c>
      <c r="AB24" s="39" t="s">
        <v>117</v>
      </c>
      <c r="AC24" s="40" t="s">
        <v>118</v>
      </c>
    </row>
    <row r="25" customFormat="false" ht="13.5" hidden="false" customHeight="true" outlineLevel="0" collapsed="false">
      <c r="A25" s="41" t="s">
        <v>79</v>
      </c>
      <c r="B25" s="42" t="s">
        <v>25</v>
      </c>
      <c r="C25" s="42" t="s">
        <v>39</v>
      </c>
      <c r="D25" s="43" t="n">
        <v>4.35</v>
      </c>
      <c r="E25" s="44" t="n">
        <v>4.381</v>
      </c>
      <c r="F25" s="38" t="n">
        <v>0.0310000000000006</v>
      </c>
      <c r="G25" s="43" t="n">
        <v>2.97</v>
      </c>
      <c r="H25" s="44" t="n">
        <v>3.0157</v>
      </c>
      <c r="I25" s="38" t="n">
        <v>0.0456999999999996</v>
      </c>
      <c r="J25" s="43" t="n">
        <v>1.99</v>
      </c>
      <c r="K25" s="44" t="n">
        <v>1.8876</v>
      </c>
      <c r="L25" s="38" t="n">
        <v>0.1024</v>
      </c>
      <c r="M25" s="43" t="n">
        <v>0.56</v>
      </c>
      <c r="N25" s="44" t="n">
        <v>0.4936</v>
      </c>
      <c r="O25" s="38" t="n">
        <v>0.0664000000000001</v>
      </c>
      <c r="P25" s="43" t="n">
        <v>1.56</v>
      </c>
      <c r="Q25" s="44" t="n">
        <v>1.3524</v>
      </c>
      <c r="R25" s="38" t="n">
        <v>0.2076</v>
      </c>
      <c r="S25" s="43" t="n">
        <v>12.9081431954921</v>
      </c>
      <c r="T25" s="44" t="n">
        <v>12.5483</v>
      </c>
      <c r="U25" s="38" t="n">
        <v>0.359843195492131</v>
      </c>
      <c r="V25" s="43" t="n">
        <v>3.02</v>
      </c>
      <c r="W25" s="44" t="n">
        <v>3.0777</v>
      </c>
      <c r="X25" s="38" t="n">
        <v>0.0577000000000001</v>
      </c>
      <c r="Y25" s="43" t="n">
        <v>9.13</v>
      </c>
      <c r="Z25" s="44" t="n">
        <v>9.0605</v>
      </c>
      <c r="AA25" s="38" t="n">
        <v>0.0695000000000015</v>
      </c>
      <c r="AB25" s="39" t="s">
        <v>117</v>
      </c>
      <c r="AC25" s="40" t="s">
        <v>118</v>
      </c>
    </row>
    <row r="26" customFormat="false" ht="13.5" hidden="false" customHeight="true" outlineLevel="0" collapsed="false">
      <c r="A26" s="45" t="s">
        <v>81</v>
      </c>
      <c r="B26" s="46" t="s">
        <v>25</v>
      </c>
      <c r="C26" s="46" t="s">
        <v>39</v>
      </c>
      <c r="D26" s="47" t="n">
        <v>3.16</v>
      </c>
      <c r="E26" s="48" t="n">
        <v>3.2336</v>
      </c>
      <c r="F26" s="38" t="n">
        <v>0.0735999999999999</v>
      </c>
      <c r="G26" s="47" t="n">
        <v>-0.28</v>
      </c>
      <c r="H26" s="39" t="n">
        <v>0</v>
      </c>
      <c r="I26" s="38" t="n">
        <v>0.28</v>
      </c>
      <c r="J26" s="47" t="n">
        <v>0.64</v>
      </c>
      <c r="K26" s="48" t="n">
        <v>0.5482</v>
      </c>
      <c r="L26" s="38" t="n">
        <v>0.0918</v>
      </c>
      <c r="M26" s="47" t="n">
        <v>0.07</v>
      </c>
      <c r="N26" s="48" t="n">
        <v>0.0491</v>
      </c>
      <c r="O26" s="38" t="n">
        <v>0.0209</v>
      </c>
      <c r="P26" s="47" t="n">
        <v>1.37</v>
      </c>
      <c r="Q26" s="48" t="n">
        <v>1.5444</v>
      </c>
      <c r="R26" s="38" t="n">
        <v>0.1744</v>
      </c>
      <c r="S26" s="47" t="n">
        <v>20.0698834038195</v>
      </c>
      <c r="T26" s="48" t="n">
        <v>20.4004</v>
      </c>
      <c r="U26" s="38" t="n">
        <v>0.330516596180459</v>
      </c>
      <c r="V26" s="47" t="n">
        <v>2.22</v>
      </c>
      <c r="W26" s="48" t="n">
        <v>2.1557</v>
      </c>
      <c r="X26" s="38" t="n">
        <v>0.0643000000000003</v>
      </c>
      <c r="Y26" s="47" t="n">
        <v>9.68</v>
      </c>
      <c r="Z26" s="48" t="n">
        <v>10.5212</v>
      </c>
      <c r="AA26" s="38" t="n">
        <v>0.841200000000001</v>
      </c>
      <c r="AB26" s="39" t="s">
        <v>117</v>
      </c>
      <c r="AC26" s="40" t="s">
        <v>118</v>
      </c>
    </row>
    <row r="27" customFormat="false" ht="13.5" hidden="false" customHeight="true" outlineLevel="0" collapsed="false">
      <c r="A27" s="41" t="s">
        <v>83</v>
      </c>
      <c r="B27" s="42" t="s">
        <v>35</v>
      </c>
      <c r="C27" s="42" t="s">
        <v>39</v>
      </c>
      <c r="D27" s="43" t="n">
        <v>5.39</v>
      </c>
      <c r="E27" s="44" t="n">
        <v>5.2739</v>
      </c>
      <c r="F27" s="38" t="n">
        <v>0.116099999999999</v>
      </c>
      <c r="G27" s="43" t="n">
        <v>3.26</v>
      </c>
      <c r="H27" s="44" t="n">
        <v>3.2663</v>
      </c>
      <c r="I27" s="38" t="n">
        <v>0.00630000000000042</v>
      </c>
      <c r="J27" s="43" t="n">
        <v>1.62</v>
      </c>
      <c r="K27" s="44" t="n">
        <v>1.8792</v>
      </c>
      <c r="L27" s="38" t="n">
        <v>0.2592</v>
      </c>
      <c r="M27" s="43" t="n">
        <v>0.63</v>
      </c>
      <c r="N27" s="44" t="n">
        <v>0.6708</v>
      </c>
      <c r="O27" s="38" t="n">
        <v>0.0408</v>
      </c>
      <c r="P27" s="43" t="n">
        <v>1.52</v>
      </c>
      <c r="Q27" s="44" t="n">
        <v>1.7083</v>
      </c>
      <c r="R27" s="38" t="n">
        <v>0.1883</v>
      </c>
      <c r="S27" s="43" t="n">
        <v>7.14705908973768</v>
      </c>
      <c r="T27" s="44" t="n">
        <v>7.4161</v>
      </c>
      <c r="U27" s="38" t="n">
        <v>0.269040910262316</v>
      </c>
      <c r="V27" s="43" t="n">
        <v>4.33</v>
      </c>
      <c r="W27" s="44" t="n">
        <v>4.3018</v>
      </c>
      <c r="X27" s="38" t="n">
        <v>0.0282</v>
      </c>
      <c r="Y27" s="43" t="n">
        <v>9.67</v>
      </c>
      <c r="Z27" s="44" t="n">
        <v>10.5829</v>
      </c>
      <c r="AA27" s="38" t="n">
        <v>0.912900000000001</v>
      </c>
      <c r="AB27" s="39" t="s">
        <v>117</v>
      </c>
      <c r="AC27" s="40" t="s">
        <v>118</v>
      </c>
    </row>
    <row r="28" customFormat="false" ht="13.5" hidden="false" customHeight="true" outlineLevel="0" collapsed="false">
      <c r="A28" s="45" t="s">
        <v>85</v>
      </c>
      <c r="B28" s="46" t="s">
        <v>35</v>
      </c>
      <c r="C28" s="46" t="s">
        <v>39</v>
      </c>
      <c r="D28" s="47" t="n">
        <v>4.82</v>
      </c>
      <c r="E28" s="48" t="n">
        <v>4.8326</v>
      </c>
      <c r="F28" s="38" t="n">
        <v>0.0125999999999999</v>
      </c>
      <c r="G28" s="47" t="n">
        <v>4.17</v>
      </c>
      <c r="H28" s="48" t="n">
        <v>4.0408</v>
      </c>
      <c r="I28" s="38" t="n">
        <v>0.1292</v>
      </c>
      <c r="J28" s="47" t="n">
        <v>1.82</v>
      </c>
      <c r="K28" s="48" t="n">
        <v>1.9094</v>
      </c>
      <c r="L28" s="38" t="n">
        <v>0.0893999999999999</v>
      </c>
      <c r="M28" s="47" t="n">
        <v>0.48</v>
      </c>
      <c r="N28" s="48" t="n">
        <v>0.4607</v>
      </c>
      <c r="O28" s="38" t="n">
        <v>0.0193</v>
      </c>
      <c r="P28" s="47" t="n">
        <v>1.13</v>
      </c>
      <c r="Q28" s="48" t="n">
        <v>1.0932</v>
      </c>
      <c r="R28" s="38" t="n">
        <v>0.0367999999999999</v>
      </c>
      <c r="S28" s="47" t="n">
        <v>13.951765484853</v>
      </c>
      <c r="T28" s="48" t="n">
        <v>14.0602</v>
      </c>
      <c r="U28" s="38" t="n">
        <v>0.108434515146961</v>
      </c>
      <c r="V28" s="47" t="n">
        <v>2.75</v>
      </c>
      <c r="W28" s="48" t="n">
        <v>2.6874</v>
      </c>
      <c r="X28" s="38" t="n">
        <v>0.0626000000000002</v>
      </c>
      <c r="Y28" s="47" t="n">
        <v>5.98</v>
      </c>
      <c r="Z28" s="48" t="n">
        <v>5.6454</v>
      </c>
      <c r="AA28" s="38" t="n">
        <v>0.3346</v>
      </c>
      <c r="AB28" s="39" t="s">
        <v>117</v>
      </c>
      <c r="AC28" s="40" t="s">
        <v>118</v>
      </c>
    </row>
  </sheetData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6" min="3" style="0" width="10"/>
    <col collapsed="false" customWidth="true" hidden="false" outlineLevel="0" max="7" min="7" style="0" width="11"/>
    <col collapsed="false" customWidth="true" hidden="false" outlineLevel="0" max="9" min="8" style="0" width="10"/>
  </cols>
  <sheetData>
    <row r="1" customFormat="false" ht="25.5" hidden="false" customHeight="true" outlineLevel="0" collapsed="false">
      <c r="A1" s="27" t="s">
        <v>119</v>
      </c>
      <c r="B1" s="27"/>
      <c r="C1" s="27"/>
      <c r="D1" s="27"/>
      <c r="E1" s="27"/>
      <c r="F1" s="27"/>
      <c r="G1" s="27"/>
      <c r="H1" s="27"/>
      <c r="I1" s="27"/>
    </row>
    <row r="2" customFormat="false" ht="13.5" hidden="false" customHeight="true" outlineLevel="0" collapsed="false">
      <c r="A2" s="28" t="s">
        <v>120</v>
      </c>
      <c r="B2" s="28"/>
      <c r="C2" s="28"/>
      <c r="D2" s="28"/>
      <c r="E2" s="28"/>
      <c r="F2" s="28"/>
      <c r="G2" s="28"/>
      <c r="H2" s="28"/>
      <c r="I2" s="28"/>
    </row>
    <row r="3" customFormat="false" ht="6" hidden="false" customHeight="true" outlineLevel="0" collapsed="false"/>
    <row r="4" customFormat="false" ht="19.5" hidden="false" customHeight="true" outlineLevel="0" collapsed="false">
      <c r="A4" s="49" t="s">
        <v>121</v>
      </c>
      <c r="B4" s="49" t="s">
        <v>122</v>
      </c>
      <c r="C4" s="49" t="s">
        <v>123</v>
      </c>
      <c r="D4" s="49" t="s">
        <v>124</v>
      </c>
      <c r="E4" s="49" t="s">
        <v>125</v>
      </c>
      <c r="F4" s="49" t="s">
        <v>126</v>
      </c>
      <c r="G4" s="49" t="s">
        <v>127</v>
      </c>
      <c r="H4" s="49" t="s">
        <v>128</v>
      </c>
      <c r="I4" s="49" t="s">
        <v>129</v>
      </c>
    </row>
    <row r="5" customFormat="false" ht="15" hidden="false" customHeight="true" outlineLevel="0" collapsed="false">
      <c r="A5" s="20" t="s">
        <v>130</v>
      </c>
      <c r="B5" s="23" t="s">
        <v>131</v>
      </c>
      <c r="C5" s="50" t="n">
        <v>-1.8</v>
      </c>
      <c r="D5" s="50" t="n">
        <v>16.52</v>
      </c>
      <c r="E5" s="51" t="n">
        <v>3.5368</v>
      </c>
      <c r="F5" s="51" t="n">
        <v>3.52</v>
      </c>
      <c r="G5" s="51" t="n">
        <v>1.2705</v>
      </c>
      <c r="H5" s="51" t="n">
        <v>1.97</v>
      </c>
      <c r="I5" s="51" t="n">
        <v>5.09</v>
      </c>
    </row>
    <row r="6" customFormat="false" ht="15" hidden="false" customHeight="true" outlineLevel="0" collapsed="false">
      <c r="A6" s="15" t="s">
        <v>132</v>
      </c>
      <c r="B6" s="18" t="s">
        <v>131</v>
      </c>
      <c r="C6" s="52" t="n">
        <v>-1.68</v>
      </c>
      <c r="D6" s="52" t="n">
        <v>7.42</v>
      </c>
      <c r="E6" s="53" t="n">
        <v>2.7763</v>
      </c>
      <c r="F6" s="53" t="n">
        <v>2.78</v>
      </c>
      <c r="G6" s="53" t="n">
        <v>1.0171</v>
      </c>
      <c r="H6" s="53" t="n">
        <v>1.47</v>
      </c>
      <c r="I6" s="53" t="n">
        <v>4.08</v>
      </c>
    </row>
    <row r="7" customFormat="false" ht="15" hidden="false" customHeight="true" outlineLevel="0" collapsed="false">
      <c r="A7" s="20" t="s">
        <v>133</v>
      </c>
      <c r="B7" s="23" t="s">
        <v>131</v>
      </c>
      <c r="C7" s="50" t="n">
        <v>0</v>
      </c>
      <c r="D7" s="50" t="n">
        <v>4.45</v>
      </c>
      <c r="E7" s="51" t="n">
        <v>1.5015</v>
      </c>
      <c r="F7" s="51" t="n">
        <v>1.5</v>
      </c>
      <c r="G7" s="51" t="n">
        <v>0.6855</v>
      </c>
      <c r="H7" s="51" t="n">
        <v>0.6</v>
      </c>
      <c r="I7" s="51" t="n">
        <v>2.39</v>
      </c>
    </row>
    <row r="8" customFormat="false" ht="15" hidden="false" customHeight="true" outlineLevel="0" collapsed="false">
      <c r="A8" s="15" t="s">
        <v>134</v>
      </c>
      <c r="B8" s="18" t="s">
        <v>131</v>
      </c>
      <c r="C8" s="52" t="n">
        <v>0</v>
      </c>
      <c r="D8" s="52" t="n">
        <v>1.86</v>
      </c>
      <c r="E8" s="53" t="n">
        <v>0.5063</v>
      </c>
      <c r="F8" s="53" t="n">
        <v>0.5</v>
      </c>
      <c r="G8" s="53" t="n">
        <v>0.2884</v>
      </c>
      <c r="H8" s="53" t="n">
        <v>0.11</v>
      </c>
      <c r="I8" s="53" t="n">
        <v>0.88</v>
      </c>
    </row>
    <row r="9" customFormat="false" ht="15" hidden="false" customHeight="true" outlineLevel="0" collapsed="false">
      <c r="A9" s="20" t="s">
        <v>135</v>
      </c>
      <c r="B9" s="23" t="s">
        <v>131</v>
      </c>
      <c r="C9" s="50" t="n">
        <v>0</v>
      </c>
      <c r="D9" s="50" t="n">
        <v>1.19</v>
      </c>
      <c r="E9" s="51" t="n">
        <v>0.4018</v>
      </c>
      <c r="F9" s="51" t="n">
        <v>0.4</v>
      </c>
      <c r="G9" s="51" t="n">
        <v>0.1964</v>
      </c>
      <c r="H9" s="51" t="n">
        <v>0.14</v>
      </c>
      <c r="I9" s="51" t="n">
        <v>0.66</v>
      </c>
    </row>
    <row r="10" customFormat="false" ht="15" hidden="false" customHeight="true" outlineLevel="0" collapsed="false">
      <c r="A10" s="15" t="s">
        <v>136</v>
      </c>
      <c r="B10" s="18" t="s">
        <v>131</v>
      </c>
      <c r="C10" s="52" t="n">
        <v>0</v>
      </c>
      <c r="D10" s="52" t="n">
        <v>3</v>
      </c>
      <c r="E10" s="53" t="n">
        <v>0.813</v>
      </c>
      <c r="F10" s="53" t="n">
        <v>0.8</v>
      </c>
      <c r="G10" s="53" t="n">
        <v>0.4772</v>
      </c>
      <c r="H10" s="53" t="n">
        <v>0.16</v>
      </c>
      <c r="I10" s="53" t="n">
        <v>1.45</v>
      </c>
    </row>
    <row r="11" customFormat="false" ht="15" hidden="false" customHeight="true" outlineLevel="0" collapsed="false">
      <c r="A11" s="20" t="s">
        <v>137</v>
      </c>
      <c r="B11" s="23" t="s">
        <v>131</v>
      </c>
      <c r="C11" s="50" t="n">
        <v>5</v>
      </c>
      <c r="D11" s="50" t="n">
        <v>27.1857</v>
      </c>
      <c r="E11" s="51" t="n">
        <v>15.0041</v>
      </c>
      <c r="F11" s="51" t="n">
        <v>14.996</v>
      </c>
      <c r="G11" s="51" t="n">
        <v>2.9848</v>
      </c>
      <c r="H11" s="51" t="n">
        <v>11.1861</v>
      </c>
      <c r="I11" s="51" t="n">
        <v>18.8304</v>
      </c>
    </row>
    <row r="12" customFormat="false" ht="15" hidden="false" customHeight="true" outlineLevel="0" collapsed="false">
      <c r="A12" s="15" t="s">
        <v>138</v>
      </c>
      <c r="B12" s="18" t="s">
        <v>131</v>
      </c>
      <c r="C12" s="52" t="n">
        <v>2</v>
      </c>
      <c r="D12" s="52" t="n">
        <v>12</v>
      </c>
      <c r="E12" s="53" t="n">
        <v>6.0018</v>
      </c>
      <c r="F12" s="53" t="n">
        <v>6.0033</v>
      </c>
      <c r="G12" s="53" t="n">
        <v>1.4902</v>
      </c>
      <c r="H12" s="53" t="n">
        <v>4.0751</v>
      </c>
      <c r="I12" s="53" t="n">
        <v>7.9161</v>
      </c>
    </row>
    <row r="13" customFormat="false" ht="15" hidden="false" customHeight="true" outlineLevel="0" collapsed="false">
      <c r="A13" s="20" t="s">
        <v>139</v>
      </c>
      <c r="B13" s="23" t="s">
        <v>131</v>
      </c>
      <c r="C13" s="50" t="n">
        <v>1</v>
      </c>
      <c r="D13" s="50" t="n">
        <v>8</v>
      </c>
      <c r="E13" s="51" t="n">
        <v>4.0045</v>
      </c>
      <c r="F13" s="51" t="n">
        <v>4.006</v>
      </c>
      <c r="G13" s="51" t="n">
        <v>0.994</v>
      </c>
      <c r="H13" s="51" t="n">
        <v>2.7273</v>
      </c>
      <c r="I13" s="51" t="n">
        <v>5.2781</v>
      </c>
    </row>
    <row r="14" customFormat="false" ht="15" hidden="false" customHeight="true" outlineLevel="0" collapsed="false">
      <c r="A14" s="15" t="s">
        <v>140</v>
      </c>
      <c r="B14" s="18" t="s">
        <v>141</v>
      </c>
      <c r="C14" s="52" t="n">
        <v>1.01</v>
      </c>
      <c r="D14" s="52" t="n">
        <v>4.99</v>
      </c>
      <c r="E14" s="53" t="n">
        <v>3.0013</v>
      </c>
      <c r="F14" s="53" t="n">
        <v>3</v>
      </c>
      <c r="G14" s="53" t="n">
        <v>0.8727</v>
      </c>
      <c r="H14" s="53" t="n">
        <v>1.79</v>
      </c>
      <c r="I14" s="53" t="n">
        <v>4.21</v>
      </c>
    </row>
    <row r="15" customFormat="false" ht="15" hidden="false" customHeight="true" outlineLevel="0" collapsed="false">
      <c r="A15" s="20" t="s">
        <v>142</v>
      </c>
      <c r="B15" s="23" t="s">
        <v>131</v>
      </c>
      <c r="C15" s="50" t="n">
        <v>0.5</v>
      </c>
      <c r="D15" s="50" t="n">
        <v>19.94</v>
      </c>
      <c r="E15" s="51" t="n">
        <v>6.3007</v>
      </c>
      <c r="F15" s="51" t="n">
        <v>6.28</v>
      </c>
      <c r="G15" s="51" t="n">
        <v>3.3619</v>
      </c>
      <c r="H15" s="51" t="n">
        <v>1.69</v>
      </c>
      <c r="I15" s="51" t="n">
        <v>10.87</v>
      </c>
    </row>
    <row r="16" customFormat="false" ht="15" hidden="false" customHeight="true" outlineLevel="0" collapsed="false">
      <c r="A16" s="15" t="s">
        <v>143</v>
      </c>
      <c r="B16" s="18" t="s">
        <v>144</v>
      </c>
      <c r="C16" s="52" t="n">
        <v>2</v>
      </c>
      <c r="D16" s="52" t="n">
        <v>5.5787</v>
      </c>
      <c r="E16" s="53" t="n">
        <v>3.5046</v>
      </c>
      <c r="F16" s="53" t="n">
        <v>3.5058</v>
      </c>
      <c r="G16" s="53" t="n">
        <v>0.498</v>
      </c>
      <c r="H16" s="53" t="n">
        <v>2.8654</v>
      </c>
      <c r="I16" s="53" t="n">
        <v>4.1426</v>
      </c>
    </row>
    <row r="17" customFormat="false" ht="15" hidden="false" customHeight="true" outlineLevel="0" collapsed="false">
      <c r="A17" s="20" t="s">
        <v>17</v>
      </c>
      <c r="B17" s="23" t="s">
        <v>145</v>
      </c>
      <c r="C17" s="50" t="n">
        <v>5.5</v>
      </c>
      <c r="D17" s="50" t="n">
        <v>8</v>
      </c>
      <c r="E17" s="51" t="n">
        <v>6.5025</v>
      </c>
      <c r="F17" s="51" t="n">
        <v>6.5011</v>
      </c>
      <c r="G17" s="51" t="n">
        <v>0.3976</v>
      </c>
      <c r="H17" s="51" t="n">
        <v>5.99</v>
      </c>
      <c r="I17" s="51" t="n">
        <v>7.0177</v>
      </c>
    </row>
    <row r="18" customFormat="false" ht="15" hidden="false" customHeight="true" outlineLevel="0" collapsed="false">
      <c r="A18" s="15" t="s">
        <v>146</v>
      </c>
      <c r="B18" s="18" t="s">
        <v>147</v>
      </c>
      <c r="C18" s="52" t="n">
        <v>1</v>
      </c>
      <c r="D18" s="52" t="n">
        <v>32.6254</v>
      </c>
      <c r="E18" s="53" t="n">
        <v>12.0633</v>
      </c>
      <c r="F18" s="53" t="n">
        <v>12.0424</v>
      </c>
      <c r="G18" s="53" t="n">
        <v>4.954</v>
      </c>
      <c r="H18" s="53" t="n">
        <v>5.6113</v>
      </c>
      <c r="I18" s="53" t="n">
        <v>18.4612</v>
      </c>
    </row>
    <row r="19" customFormat="false" ht="15" hidden="false" customHeight="true" outlineLevel="0" collapsed="false">
      <c r="A19" s="20" t="s">
        <v>148</v>
      </c>
      <c r="B19" s="23" t="s">
        <v>149</v>
      </c>
      <c r="C19" s="50" t="n">
        <v>5.05</v>
      </c>
      <c r="D19" s="50" t="n">
        <v>149.74</v>
      </c>
      <c r="E19" s="51" t="n">
        <v>55.1772</v>
      </c>
      <c r="F19" s="51" t="n">
        <v>55.2</v>
      </c>
      <c r="G19" s="51" t="n">
        <v>26.2863</v>
      </c>
      <c r="H19" s="51" t="n">
        <v>18.91</v>
      </c>
      <c r="I19" s="51" t="n">
        <v>91.3</v>
      </c>
    </row>
    <row r="20" customFormat="false" ht="15" hidden="false" customHeight="true" outlineLevel="0" collapsed="false">
      <c r="A20" s="15" t="s">
        <v>150</v>
      </c>
      <c r="B20" s="18" t="s">
        <v>151</v>
      </c>
      <c r="C20" s="52" t="n">
        <v>10</v>
      </c>
      <c r="D20" s="52" t="n">
        <v>80</v>
      </c>
      <c r="E20" s="53" t="n">
        <v>45</v>
      </c>
      <c r="F20" s="53" t="n">
        <v>45.0125</v>
      </c>
      <c r="G20" s="53" t="n">
        <v>9.9391</v>
      </c>
      <c r="H20" s="53" t="n">
        <v>32.2791</v>
      </c>
      <c r="I20" s="53" t="n">
        <v>57.725</v>
      </c>
    </row>
    <row r="23" customFormat="false" ht="19.5" hidden="false" customHeight="true" outlineLevel="0" collapsed="false">
      <c r="A23" s="54" t="s">
        <v>152</v>
      </c>
      <c r="B23" s="54"/>
      <c r="C23" s="54"/>
      <c r="D23" s="54"/>
      <c r="E23" s="54"/>
      <c r="F23" s="54"/>
      <c r="G23" s="54"/>
      <c r="H23" s="54"/>
      <c r="I23" s="54"/>
    </row>
    <row r="24" customFormat="false" ht="18" hidden="false" customHeight="true" outlineLevel="0" collapsed="false">
      <c r="A24" s="49" t="s">
        <v>153</v>
      </c>
      <c r="B24" s="49" t="s">
        <v>154</v>
      </c>
      <c r="C24" s="49" t="s">
        <v>155</v>
      </c>
    </row>
    <row r="25" customFormat="false" ht="15" hidden="false" customHeight="true" outlineLevel="0" collapsed="false">
      <c r="A25" s="23" t="s">
        <v>156</v>
      </c>
      <c r="B25" s="55" t="n">
        <v>16053</v>
      </c>
      <c r="C25" s="56" t="n">
        <f aca="false">B25/B35*100</f>
        <v>32.106</v>
      </c>
    </row>
    <row r="26" customFormat="false" ht="15" hidden="false" customHeight="true" outlineLevel="0" collapsed="false">
      <c r="A26" s="18" t="s">
        <v>157</v>
      </c>
      <c r="B26" s="57" t="n">
        <v>8993</v>
      </c>
      <c r="C26" s="58" t="n">
        <f aca="false">B26/B35*100</f>
        <v>17.986</v>
      </c>
    </row>
    <row r="27" customFormat="false" ht="15" hidden="false" customHeight="true" outlineLevel="0" collapsed="false">
      <c r="A27" s="23" t="s">
        <v>158</v>
      </c>
      <c r="B27" s="55" t="n">
        <v>15982</v>
      </c>
      <c r="C27" s="56" t="n">
        <f aca="false">B27/B35*100</f>
        <v>31.964</v>
      </c>
    </row>
    <row r="28" customFormat="false" ht="15" hidden="false" customHeight="true" outlineLevel="0" collapsed="false">
      <c r="A28" s="18" t="s">
        <v>159</v>
      </c>
      <c r="B28" s="57" t="n">
        <v>8972</v>
      </c>
      <c r="C28" s="58" t="n">
        <f aca="false">B28/B35*100</f>
        <v>17.944</v>
      </c>
    </row>
    <row r="29" customFormat="false" ht="15" hidden="false" customHeight="true" outlineLevel="0" collapsed="false">
      <c r="A29" s="23" t="s">
        <v>160</v>
      </c>
      <c r="B29" s="55" t="n">
        <v>49003</v>
      </c>
      <c r="C29" s="56" t="n">
        <f aca="false">B29/B35*100</f>
        <v>98.006</v>
      </c>
    </row>
    <row r="30" customFormat="false" ht="15" hidden="false" customHeight="true" outlineLevel="0" collapsed="false">
      <c r="A30" s="18" t="s">
        <v>161</v>
      </c>
      <c r="B30" s="57" t="n">
        <v>997</v>
      </c>
      <c r="C30" s="58" t="n">
        <f aca="false">B30/B35*100</f>
        <v>1.994</v>
      </c>
    </row>
    <row r="31" customFormat="false" ht="15" hidden="false" customHeight="true" outlineLevel="0" collapsed="false">
      <c r="A31" s="23" t="s">
        <v>162</v>
      </c>
      <c r="B31" s="55" t="n">
        <v>249</v>
      </c>
      <c r="C31" s="56" t="n">
        <f aca="false">B31/B35*100</f>
        <v>0.498</v>
      </c>
    </row>
    <row r="32" customFormat="false" ht="15" hidden="false" customHeight="true" outlineLevel="0" collapsed="false">
      <c r="A32" s="18" t="s">
        <v>163</v>
      </c>
      <c r="B32" s="57" t="n">
        <v>242</v>
      </c>
      <c r="C32" s="58" t="n">
        <f aca="false">B32/B35*100</f>
        <v>0.484</v>
      </c>
    </row>
    <row r="33" customFormat="false" ht="15" hidden="false" customHeight="true" outlineLevel="0" collapsed="false">
      <c r="A33" s="23" t="s">
        <v>164</v>
      </c>
      <c r="B33" s="55" t="n">
        <v>235</v>
      </c>
      <c r="C33" s="56" t="n">
        <f aca="false">B33/B35*100</f>
        <v>0.47</v>
      </c>
    </row>
    <row r="34" customFormat="false" ht="15" hidden="false" customHeight="true" outlineLevel="0" collapsed="false">
      <c r="A34" s="18" t="s">
        <v>165</v>
      </c>
      <c r="B34" s="57" t="n">
        <v>271</v>
      </c>
      <c r="C34" s="58" t="n">
        <f aca="false">B34/B35*100</f>
        <v>0.542</v>
      </c>
    </row>
    <row r="35" customFormat="false" ht="15" hidden="false" customHeight="true" outlineLevel="0" collapsed="false">
      <c r="A35" s="59" t="s">
        <v>166</v>
      </c>
      <c r="B35" s="60" t="n">
        <v>50000</v>
      </c>
      <c r="C35" s="61" t="s">
        <v>167</v>
      </c>
    </row>
  </sheetData>
  <mergeCells count="3">
    <mergeCell ref="A1:I1"/>
    <mergeCell ref="A2:I2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2026-03-15T20:09:27Z</dcterms:created>
  <dc:creator>openpyxl</dc:creator>
  <dc:description/>
  <dc:language>en-US</dc:language>
  <cp:lastModifiedBy/>
  <dcterms:modified xsi:type="dcterms:W3CDTF">2026-03-15T20:09:29Z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